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 me" sheetId="1" state="visible" r:id="rId3"/>
    <sheet name="Course Master" sheetId="2" state="visible" r:id="rId4"/>
    <sheet name="Pricing Summary" sheetId="3" state="visible" r:id="rId5"/>
  </sheets>
  <definedNames>
    <definedName function="false" hidden="true" localSheetId="1" name="_xlnm._FilterDatabase" vbProcedure="false">'Course Master'!$A$1:$P$70</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<sst xmlns="http://schemas.openxmlformats.org/spreadsheetml/2006/main" count="897" uniqueCount="562">
  <si>
    <t xml:space="preserve">MedSkills by MedXL — Course Master</t>
  </si>
  <si>
    <t xml:space="preserve">Prepared for</t>
  </si>
  <si>
    <t xml:space="preserve">medskills.in course pages</t>
  </si>
  <si>
    <t xml:space="preserve">Date</t>
  </si>
  <si>
    <t xml:space="preserve">29 September 2026</t>
  </si>
  <si>
    <t xml:space="preserve">Sheet</t>
  </si>
  <si>
    <t xml:space="preserve">What it holds</t>
  </si>
  <si>
    <t xml:space="preserve">Course Master</t>
  </si>
  <si>
    <t xml:space="preserve">One row per course: code, name, category, hours, description, objectives, outcomes, audience and pricing.</t>
  </si>
  <si>
    <t xml:space="preserve">Pricing Summary</t>
  </si>
  <si>
    <t xml:space="preserve">The three price tiers, how many courses sit in each, and the market benchmark each tier is priced against.</t>
  </si>
  <si>
    <t xml:space="preserve">Column</t>
  </si>
  <si>
    <t xml:space="preserve">Notes</t>
  </si>
  <si>
    <t xml:space="preserve">Learning Hours</t>
  </si>
  <si>
    <t xml:space="preserve">Notional learner effort including video, reading and assessment.</t>
  </si>
  <si>
    <t xml:space="preserve">Objectives / Outcomes</t>
  </si>
  <si>
    <t xml:space="preserve">One per line inside the cell. Use line breaks as list items when publishing.</t>
  </si>
  <si>
    <t xml:space="preserve">MRP (INR)</t>
  </si>
  <si>
    <t xml:space="preserve">Struck-through list price shown on the website.</t>
  </si>
  <si>
    <t xml:space="preserve">Discount %</t>
  </si>
  <si>
    <t xml:space="preserve">Formula: 1 - Fee / MRP. Do not overwrite; change MRP or Fee instead.</t>
  </si>
  <si>
    <t xml:space="preserve">Course Fee (INR)</t>
  </si>
  <si>
    <t xml:space="preserve">Price the learner pays. Per learner, inclusive of assessment and certificate. GST extra.</t>
  </si>
  <si>
    <t xml:space="preserve">Editable cells</t>
  </si>
  <si>
    <t xml:space="preserve">MRP (INR) and Course Fee (INR) are the only pricing cells to edit. Everything else is text content.</t>
  </si>
  <si>
    <t xml:space="preserve">Assumption</t>
  </si>
  <si>
    <t xml:space="preserve">Prices are benchmarked to publicly listed Indian course fees in September 2026 (see Pricing Summary). Review before each campaign.</t>
  </si>
  <si>
    <t xml:space="preserve">Course Code</t>
  </si>
  <si>
    <t xml:space="preserve">Course Name</t>
  </si>
  <si>
    <t xml:space="preserve">Category</t>
  </si>
  <si>
    <t xml:space="preserve">Course Type</t>
  </si>
  <si>
    <t xml:space="preserve">Short Description</t>
  </si>
  <si>
    <t xml:space="preserve">Full Description</t>
  </si>
  <si>
    <t xml:space="preserve">Course Objectives</t>
  </si>
  <si>
    <t xml:space="preserve">Course Learning Outcomes</t>
  </si>
  <si>
    <t xml:space="preserve">Who Can Take This Course</t>
  </si>
  <si>
    <t xml:space="preserve">Delivery Mode</t>
  </si>
  <si>
    <t xml:space="preserve">Assessment</t>
  </si>
  <si>
    <t xml:space="preserve">Certificate</t>
  </si>
  <si>
    <t xml:space="preserve">MS-NABH-01</t>
  </si>
  <si>
    <t xml:space="preserve">NABH 6th Edition — Implementation &amp; Compliance</t>
  </si>
  <si>
    <t xml:space="preserve">Accreditation &amp; Quality</t>
  </si>
  <si>
    <t xml:space="preserve">Mandatory</t>
  </si>
  <si>
    <t xml:space="preserve">Orient your whole hospital to the 639 objective elements and evidence required by the current accreditation standard.</t>
  </si>
  <si>
    <t xml:space="preserve">This certification-grade programme takes hospital teams through the structure, chapters and objective elements of the NABH 6th Edition standard. It covers documentation, policy writing, evidence files, committee functioning, internal audit and the assessment visit itself. Indian hospitals preparing for fresh accreditation or re-accreditation need a shared understanding across clinical, nursing, support and administrative departments so that compliance is continuous rather than assessment driven.</t>
  </si>
  <si>
    <t xml:space="preserve">1. Explain the structure and chapters of the NABH 6th Edition standard
2. Interpret objective elements and the evidence each one requires
3. Plan departmental documentation, policies and records for accreditation readiness
4. Apply internal audit methods to identify and close compliance gaps</t>
  </si>
  <si>
    <t xml:space="preserve">1. Learners can map their department's daily work to relevant objective elements
2. Learners can assemble evidence files that withstand assessor scrutiny during a visit
3. Learners can conduct an internal audit and record non-conformities correctly
4. Learners can draft policies and standard operating procedures in the required format</t>
  </si>
  <si>
    <t xml:space="preserve">Quality managers, hospital administrators, department heads, nursing superintendents, Medical Officers, NABH coordinators and support service in-charges; required for staff holding accreditation responsibilities in every clinical and non-clinical department.</t>
  </si>
  <si>
    <t xml:space="preserve">Online, self-paced (mobile and desktop)</t>
  </si>
  <si>
    <t xml:space="preserve">Pre-test and post-test</t>
  </si>
  <si>
    <t xml:space="preserve">QR-verified certificate of completion</t>
  </si>
  <si>
    <t xml:space="preserve">MS-NABH-02</t>
  </si>
  <si>
    <t xml:space="preserve">NABH Assessment Readiness &amp; Documentation</t>
  </si>
  <si>
    <t xml:space="preserve">Face assessors with confidence — SOPs, records and mock-audit practice ahead of every assessment cycle.</t>
  </si>
  <si>
    <t xml:space="preserve">This twelve-hour programme prepares hospital teams for a NABH 6th Edition assessment. It covers the standards and objective elements, SOP writing, record keeping, quality indicators, committee minutes and corrective action plans, and includes mock-audit practice with assessor-style questioning. Indian hospitals seeking accreditation or renewal need documented evidence across every chapter, and this course shows staff how to build and maintain it.</t>
  </si>
  <si>
    <t xml:space="preserve">1. Explain the structure of NABH 6th Edition chapters, standards and objective elements
2. Apply document control rules to SOPs, policies, manuals and departmental records
3. Plan evidence collection for quality indicators, committee minutes and incident registers
4. Demonstrate mock-audit responses to common assessor questions across clinical departments</t>
  </si>
  <si>
    <t xml:space="preserve">1. Learners can map departmental practice against the relevant NABH objective elements
2. Learners can draft and revise SOPs that meet document control requirements
3. Learners can assemble an assessment evidence file for their own department
4. Learners can answer assessor questions calmly using records held on site</t>
  </si>
  <si>
    <t xml:space="preserve">Quality managers, NABH coordinators, department heads, staff nurses, ward in-charges, Medical Officers, laboratory and radiology supervisors, administrative officers and hospital management interns; required for all departments before every assessment cycle.</t>
  </si>
  <si>
    <t xml:space="preserve">MS-QAU-03</t>
  </si>
  <si>
    <t xml:space="preserve">Internal Quality Auditor for Hospitals</t>
  </si>
  <si>
    <t xml:space="preserve">Build the in-house audit team NABH expects, with a repeatable internal audit method.</t>
  </si>
  <si>
    <t xml:space="preserve">This certification-grade programme prepares hospital staff to plan, conduct and report internal audits against NABH 6th Edition standards. It covers audit scheduling, checklist design, objective evidence, interview technique, nonconformity grading and corrective action follow-up. Every accredited Indian hospital must run internal audits before assessment, and an in-house team makes that requirement affordable, repeatable and genuinely useful for improvement.</t>
  </si>
  <si>
    <t xml:space="preserve">1. Explain the purpose and scope of internal audit under NABH 6th Edition
2. Plan an annual audit programme covering all departments and standards
3. Apply checklist and sampling methods to gather objective audit evidence
4. Grade nonconformities and verify corrective actions through documented follow-up</t>
  </si>
  <si>
    <t xml:space="preserve">1. Learners can prepare a departmental audit plan with scope, criteria and timelines
2. Learners can conduct an opening meeting, audit interview and closing meeting confidently
3. Learners can write clear nonconformity statements supported by objective evidence
4. Learners can track corrective actions to closure and report to quality committees</t>
  </si>
  <si>
    <t xml:space="preserve">Quality managers, quality coordinators, NABH coordinators, nursing superintendents, department heads, senior staff nurses, hospital administrators and postgraduate hospital administration students nominated to the internal audit team.</t>
  </si>
  <si>
    <t xml:space="preserve">MS-QI-04</t>
  </si>
  <si>
    <t xml:space="preserve">Quality Indicators, KPIs &amp; Clinical Audit</t>
  </si>
  <si>
    <t xml:space="preserve">Upskilling</t>
  </si>
  <si>
    <t xml:space="preserve">Collect, monitor and act on quality indicators — the continuous-improvement discipline most hospitals lack.</t>
  </si>
  <si>
    <t xml:space="preserve">This six-hour programme covers the selection, definition, collection and analysis of hospital quality indicators, and the conduct of clinical audit cycles. NABH 6th Edition requires monitored indicators across clinical and managerial areas, and NQAS assessment uses similar measures. Participants learn to build indicator dashboards, run root cause analysis and close audit loops with documented corrective action.</t>
  </si>
  <si>
    <t xml:space="preserve">1. Explain the structure, process and outcome indicator framework used in hospital quality monitoring
2. Apply operational definitions, numerators and denominators to construct reliable quality indicators
3. Interpret run charts and control charts to separate common cause from special cause variation
4. Plan a complete clinical audit cycle with criteria, standards, re-audit and corrective action</t>
  </si>
  <si>
    <t xml:space="preserve">1. Learners can define a hospital quality indicator with a written operational definition and data source
2. Learners can compile monthly indicator data and present it accurately to a quality committee
3. Learners can identify contributing causes of an adverse trend using a structured analysis tool
4. Learners can complete and document one clinical audit cycle including re-audit findings</t>
  </si>
  <si>
    <t xml:space="preserve">Quality managers and coordinators, NABH nodal officers, nursing superintendents, ward in-charges, Medical Officers, department heads, medical records staff, and hospital administration students or interns supporting quality cells.</t>
  </si>
  <si>
    <t xml:space="preserve">MS-NNE-05</t>
  </si>
  <si>
    <t xml:space="preserve">NABH Nursing Excellence — Certification Prep</t>
  </si>
  <si>
    <t xml:space="preserve">Ready your nursing service for the fast-growing Nursing Excellence certification.</t>
  </si>
  <si>
    <t xml:space="preserve">This programme prepares a hospital nursing service for NABH Nursing Excellence certification. It covers nursing standards, staffing and skill mix, competency assessment, nursing documentation, care planning, patient safety indicators and nursing quality audits. Hospitals seeking the certification need their nursing leadership and bedside teams to work to a common standard, with records and indicator data that demonstrate consistent practice across all shifts and wards.</t>
  </si>
  <si>
    <t xml:space="preserve">1. Explain the scope and requirements of NABH Nursing Excellence certification
2. Apply competency assessment and credentialling methods to the nursing workforce
3. Use nursing quality indicators to monitor and improve bedside care
4. Plan nursing documentation and care plans that meet certification requirements</t>
  </si>
  <si>
    <t xml:space="preserve">1. Learners can prepare ward level evidence required for a certification assessment
2. Learners can collect, analyse and present nursing quality indicator data monthly
3. Learners can carry out competency assessments and maintain individual nursing records
4. Learners can identify practice gaps in nursing care and plan corrective action</t>
  </si>
  <si>
    <t xml:space="preserve">Nursing superintendents, deputy nursing superintendents, ward in-charges, staff nurses, nurse educators, quality coordinators and final year nursing students or interns preparing for hospital nursing roles.</t>
  </si>
  <si>
    <t xml:space="preserve">MS-NABL-06</t>
  </si>
  <si>
    <t xml:space="preserve">NABL / Lab Quality for Hospital Labs</t>
  </si>
  <si>
    <t xml:space="preserve">Laboratory Quality &amp; NABL (ISO 15189)</t>
  </si>
  <si>
    <t xml:space="preserve">Quality-system essentials for diagnostic and pathology teams pursuing NABL.</t>
  </si>
  <si>
    <t xml:space="preserve">A twelve-hour certification-grade course on the quality management system required by NABL under ISO 15189:2022. It covers the quality manual, competence assessment, equipment calibration, method verification, uncertainty of measurement, sample handling, nonconformity management and internal audit. Hospital laboratories applying for NABL accreditation or maintaining it need staff who understand these clauses and can produce the records assessors ask for.</t>
  </si>
  <si>
    <t xml:space="preserve">1. Explain the management and technical requirements of ISO 15189:2022 for laboratories
2. Apply competence assessment and training records to laboratory personnel management
3. Plan equipment calibration, method verification and measurement uncertainty activities for the laboratory
4. Use internal audit and nonconformity procedures to close quality system gaps</t>
  </si>
  <si>
    <t xml:space="preserve">1. Learners can locate the ISO 15189:2022 clause behind any laboratory quality requirement
2. Learners can prepare a quality manual section for their own laboratory
3. Learners can conduct an internal audit and record findings with corrective actions
4. Learners can maintain calibration and verification records that satisfy NABL assessors</t>
  </si>
  <si>
    <t xml:space="preserve">Laboratory quality managers, technical heads, pathologists, microbiologists, biochemists, senior lab technicians, phlebotomists, laboratory documentation staff and DMLT or MLT interns; required for teams pursuing or renewing NABL accreditation.</t>
  </si>
  <si>
    <t xml:space="preserve">MS-ISO-59</t>
  </si>
  <si>
    <t xml:space="preserve">ISO 15189:2022 Awareness &amp; Quality Management System</t>
  </si>
  <si>
    <t xml:space="preserve">The standard NABL accredits against — requirements, QMS structure and every staff member’s role in it.</t>
  </si>
  <si>
    <t xml:space="preserve">A detailed introduction to ISO 15189:2022, the standard NABL accredits medical laboratories against. The programme explains the structural, resource, process and management system requirements, document and record control, competence, and each staff member's role in maintaining the quality management system. Laboratories seeking or holding NABL accreditation need every technologist and officer to understand these obligations.</t>
  </si>
  <si>
    <t xml:space="preserve">1. Explain the structure and clause layout of ISO 15189:2022
2. Identify resource, process and management system requirements applicable to each laboratory role
3. Apply document control and record retention rules within the laboratory quality system
4. Plan evidence of competence, training and impartiality required during NABL assessment</t>
  </si>
  <si>
    <t xml:space="preserve">1. Learners can locate the clause governing any routine laboratory activity
2. Learners can maintain controlled documents, forms and records to accreditation requirements
3. Learners can describe their own responsibilities within the laboratory quality management system
4. Learners can prepare departmental evidence for an internal or NABL assessment</t>
  </si>
  <si>
    <t xml:space="preserve">Laboratory quality managers, technical managers, pathologists, microbiologists, biochemists, senior and junior laboratory technologists, phlebotomists, laboratory administrators, and MLT students or interns posted in accredited laboratories.</t>
  </si>
  <si>
    <t xml:space="preserve">MS-LIA-60</t>
  </si>
  <si>
    <t xml:space="preserve">Internal Auditor for Medical Laboratories</t>
  </si>
  <si>
    <t xml:space="preserve">Plan, conduct and report ISO 15189 internal audits — the trained auditors NABL expects on staff.</t>
  </si>
  <si>
    <t xml:space="preserve">This sixteen-hour certification-grade programme trains laboratory staff to plan, conduct, report and follow up internal audits against ISO 15189:2022. NABL requires accredited medical laboratories to maintain a competent internal audit team and a documented audit programme. The course covers audit planning, checklist design, objective evidence gathering, interviewing technique, nonconformity grading, root cause analysis and corrective action verification.</t>
  </si>
  <si>
    <t xml:space="preserve">1. Explain the clause structure and management system requirements of ISO 15189:2022
2. Plan a risk-based annual internal audit programme covering all laboratory processes and sites
3. Demonstrate audit interviewing, sampling and objective evidence collection during a simulated audit
4. Apply nonconformity grading, root cause analysis and corrective action verification to audit findings</t>
  </si>
  <si>
    <t xml:space="preserve">1. Learners can prepare an audit plan and clause-referenced checklist for an assigned laboratory section
2. Learners can conduct an opening meeting, audit trail and closing meeting with appropriate professional conduct
3. Learners can write clear nonconformity statements citing the requirement, evidence and departure observed
4. Learners can verify closure of corrective actions and record objective evidence of effectiveness</t>
  </si>
  <si>
    <t xml:space="preserve">Laboratory quality managers, technical managers, senior laboratory technicians and technologists, consultant pathologists and microbiologists, biochemists, quality officers, and postgraduate pathology residents. Required for staff nominated to the laboratory internal audit team.</t>
  </si>
  <si>
    <t xml:space="preserve">MS-BIO-61</t>
  </si>
  <si>
    <t xml:space="preserve">Laboratory Biosafety &amp; Biosecurity</t>
  </si>
  <si>
    <t xml:space="preserve">Biosafety levels, PPE, safe specimen handling, spills and exposure management in the lab.</t>
  </si>
  <si>
    <t xml:space="preserve">This course covers biosafety levels, risk assessment, personal protective equipment, safe specimen collection and transport, centrifuge and aerosol precautions, disinfection, spill management and post-exposure prophylaxis. Laboratories working towards or holding NABL accreditation under ISO 15189:2022 must demonstrate documented biosafety practice, and disposal of laboratory waste must follow the Bio-Medical Waste Management Rules 2016 in every hospital and standalone centre.</t>
  </si>
  <si>
    <t xml:space="preserve">1. Explain biosafety levels and the risk group classification of common pathogens
2. Apply correct personal protective equipment selection, donning and doffing in laboratory areas
3. Demonstrate safe handling, packaging and transport of clinical specimens
4. Use approved procedures to manage spills, exposures and laboratory waste</t>
  </si>
  <si>
    <t xml:space="preserve">1. Learners can carry out a biosafety risk assessment for their own workbench
2. Learners can respond correctly to a spill or needlestick exposure
3. Learners can segregate laboratory waste as required under BMW Rules 2016
4. Learners can maintain biosafety records expected during a NABL assessment</t>
  </si>
  <si>
    <t xml:space="preserve">Laboratory technicians, technologists, phlebotomists, pathologists, microbiologists, laboratory quality managers, housekeeping staff working in laboratory areas and DMLT or MLT students on placement; required annually for all laboratory personnel.</t>
  </si>
  <si>
    <t xml:space="preserve">MS-IQC-62</t>
  </si>
  <si>
    <t xml:space="preserve">Internal Quality Control, Westgard Rules &amp; EQAS / PT</t>
  </si>
  <si>
    <t xml:space="preserve">Run and interpret IQC with Levey-Jennings charts, and participate in external quality assessment.</t>
  </si>
  <si>
    <t xml:space="preserve">This twelve-hour course teaches daily internal quality control for hospital laboratories. It covers control material selection, mean and standard deviation setting, Levey-Jennings charts, Westgard multirules, error classification, root cause investigation and participation in external quality assessment or proficiency testing. ISO 15189:2022 and NABL require documented IQC and EQAS performance, so technologists must run, interpret and act on control data every shift.</t>
  </si>
  <si>
    <t xml:space="preserve">1. Explain the purpose of internal quality control in clinical laboratory testing
2. Use control material to establish laboratory mean, standard deviation and coefficient of variation
3. Interpret Levey-Jennings charts and apply Westgard multirules to accept or reject runs
4. Plan corrective action and EQAS participation following control failures or poor scores</t>
  </si>
  <si>
    <t xml:space="preserve">1. Learners can plot and read a Levey-Jennings chart for any analyte
2. Learners can distinguish random error from systematic shift or trend in control data
3. Learners can decide when a run must be rejected and repeated
4. Learners can document EQAS results and investigate unsatisfactory proficiency testing scores</t>
  </si>
  <si>
    <t xml:space="preserve">Laboratory technologists, senior lab technicians, section in-charges, quality managers, pathologists, biochemists, microbiologists and DMLT or BSc MLT interns; suited to teams maintaining NABL accredited testing.</t>
  </si>
  <si>
    <t xml:space="preserve">MS-PRE-63</t>
  </si>
  <si>
    <t xml:space="preserve">Pre-examination: Sample Collection, Transport &amp; Rejection</t>
  </si>
  <si>
    <t xml:space="preserve">Patient identification, phlebotomy, labelling, transport and rejection criteria — where most lab errors begin.</t>
  </si>
  <si>
    <t xml:space="preserve">The pre-examination phase is where most laboratory errors begin. This course covers test requisition, positive patient identification, phlebotomy technique, order of draw, container selection, labelling, sample transport, temperature control and documented rejection criteria. ISO 15189:2022 and NABL require laboratories to control these steps and record rejections, making this training essential for collection and transport staff.</t>
  </si>
  <si>
    <t xml:space="preserve">1. Apply two-identifier patient identification before every sample collection episode
2. Demonstrate correct phlebotomy technique, order of draw and container selection
3. Explain transport, storage and temperature requirements for common laboratory specimens
4. Use written rejection criteria to accept or reject received samples consistently</t>
  </si>
  <si>
    <t xml:space="preserve">1. Learners can collect and label samples without identification or container errors
2. Learners can package and transport specimens within stated time and temperature limits
3. Learners can document sample rejection with reason and communicate it to requesting units
4. Learners can recognise haemolysis, clotting and dilution problems arising from collection practice</t>
  </si>
  <si>
    <t xml:space="preserve">Phlebotomists, laboratory technicians and technologists, collection centre staff, staff nurses who draw samples, ward attendants handling transport, sample reception clerks, and MLT or nursing students on posting.</t>
  </si>
  <si>
    <t xml:space="preserve">MS-MU-64</t>
  </si>
  <si>
    <t xml:space="preserve">Method Verification, Validation &amp; Measurement Uncertainty</t>
  </si>
  <si>
    <t xml:space="preserve">Verify methods before use and estimate measurement uncertainty as NABL-112 requires.</t>
  </si>
  <si>
    <t xml:space="preserve">This twelve-hour programme covers verification of manufacturer claims, validation of laboratory developed or modified methods, and estimation of measurement uncertainty. ISO 15189:2022 and NABL guidance require laboratories to verify precision, trueness, linearity and reportable range before clinical use, and to state uncertainty for quantitative results. Participants work through worked calculations using their own instrument and quality control data.</t>
  </si>
  <si>
    <t xml:space="preserve">1. Explain when verification is sufficient and when full method validation becomes necessary
2. Apply protocols for precision, trueness, linearity, detection limit and reportable range studies
3. Interpret comparison study data against a reference method using regression and bias plots
4. Use internal quality control and calibrator data to estimate measurement uncertainty for quantitative tests</t>
  </si>
  <si>
    <t xml:space="preserve">1. Learners can design and document a verification protocol with defined acceptance criteria before test introduction
2. Learners can calculate within-run and between-run precision from replicate data and judge acceptability
3. Learners can produce a measurement uncertainty budget for a routine quantitative analyte
4. Learners can compile a verification report suitable for review during a NABL assessment</t>
  </si>
  <si>
    <t xml:space="preserve">Laboratory technical managers, quality managers, senior technologists in biochemistry, haematology and immunoassay, consultant pathologists and biochemists, method validation officers, and postgraduate laboratory medicine trainees.</t>
  </si>
  <si>
    <t xml:space="preserve">MS-EQP-65</t>
  </si>
  <si>
    <t xml:space="preserve">Equipment Calibration, Maintenance &amp; Traceability</t>
  </si>
  <si>
    <t xml:space="preserve">Calibration schedules, metrological traceability, maintenance logs and equipment records.</t>
  </si>
  <si>
    <t xml:space="preserve">This course explains calibration planning, metrological traceability to reference materials, verification, preventive maintenance schedules, breakdown records and equipment history files. ISO 15189:2022 and NABL assessment expect every measuring instrument in a medical laboratory to have documented calibration status and an identified person responsible. The course helps laboratories build a practical equipment register and avoid reporting results from uncalibrated or overdue analysers.</t>
  </si>
  <si>
    <t xml:space="preserve">1. Explain metrological traceability and its role in reliable laboratory results
2. Plan calibration and preventive maintenance schedules for laboratory equipment
3. Interpret calibration certificates, measurement uncertainty statements and verification data
4. Use equipment records to demonstrate compliance during a NABL assessment</t>
  </si>
  <si>
    <t xml:space="preserve">1. Learners can build and maintain an equipment register with calibration due dates
2. Learners can decide whether an instrument is fit for reporting patient results
3. Learners can record breakdowns, repairs and post repair verification correctly
4. Learners can review a calibration certificate and flag traceability shortcomings</t>
  </si>
  <si>
    <t xml:space="preserve">Laboratory technicians, technologists, biomedical engineers, laboratory quality managers, pathologists, blood bank staff, equipment store in-charges and MLT students; required for all staff operating measuring or diagnostic equipment.</t>
  </si>
  <si>
    <t xml:space="preserve">MS-RPT-66</t>
  </si>
  <si>
    <t xml:space="preserve">Document Control, Records &amp; Result Reporting</t>
  </si>
  <si>
    <t xml:space="preserve">Controlled documents, records retention, report release and critical-value communication.</t>
  </si>
  <si>
    <t xml:space="preserve">A six-hour course on laboratory documentation and result release. It covers controlled document numbering, version control, amendment and withdrawal, record retention periods, report content and format, amended reports, turnaround time monitoring and critical value communication with documented read-back. ISO 15189:2022 and NABL require traceable documents and timely critical result alerts, and this course gives laboratory staff the working practice behind those clauses.</t>
  </si>
  <si>
    <t xml:space="preserve">1. Explain document control principles for laboratory manuals, SOPs, forms and formats
2. Apply retention rules to laboratory records, worksheets and archived reports
3. Demonstrate correct report release, verification and amendment procedures for patient results
4. Use a critical value list and read-back method to communicate urgent findings</t>
  </si>
  <si>
    <t xml:space="preserve">1. Learners can issue, revise and withdraw a controlled document with full traceability
2. Learners can release and amend patient reports without losing the original record
3. Learners can escalate a critical value and document the communication correctly
4. Learners can monitor turnaround time and report delays to the quality manager</t>
  </si>
  <si>
    <t xml:space="preserve">Laboratory technicians, report despatch and front office staff, section in-charges, quality managers, pathologists, data entry operators and MLT interns; required for all staff involved in result release.</t>
  </si>
  <si>
    <t xml:space="preserve">MS-CAPA-67</t>
  </si>
  <si>
    <t xml:space="preserve">Risk Management, Nonconformities &amp; CAPA</t>
  </si>
  <si>
    <t xml:space="preserve">Identify risks, manage nonconforming work and close corrective actions that stick.</t>
  </si>
  <si>
    <t xml:space="preserve">This course covers risk-based thinking, control of nonconforming work and corrective action in medical laboratories. It explains risk identification and assessment, immediate containment, root cause analysis using structured tools, corrective action planning, effectiveness checks and closure records. ISO 15189:2022 requires laboratories to address risk and nonconformities, and NABL assessors routinely examine how well these actions are closed.</t>
  </si>
  <si>
    <t xml:space="preserve">1. Identify risks to patient safety and result quality across laboratory processes
2. Apply a structured root cause analysis method to laboratory nonconformities
3. Plan corrective actions with owners, timelines and measurable effectiveness checks
4. Explain the difference between correction, corrective action and preventive improvement</t>
  </si>
  <si>
    <t xml:space="preserve">1. Learners can complete a risk register entry with likelihood, impact and control
2. Learners can investigate a nonconformity and reach a defensible root cause
3. Learners can close a CAPA record with documented evidence of effectiveness
4. Learners can distinguish recurring issues needing systemic change from isolated one-off errors</t>
  </si>
  <si>
    <t xml:space="preserve">Laboratory quality managers, technical managers, section in-charges, senior technologists, pathologists and consultants, quality coordinators, and internal auditors responsible for nonconformity and CAPA records.</t>
  </si>
  <si>
    <t xml:space="preserve">MS-IMP-68</t>
  </si>
  <si>
    <t xml:space="preserve">Impartiality, Confidentiality &amp; Ethics in the Laboratory</t>
  </si>
  <si>
    <t xml:space="preserve">Meet ISO 15189 impartiality and confidentiality requirements for every lab employee.</t>
  </si>
  <si>
    <t xml:space="preserve">This three-hour refresher explains the impartiality, confidentiality and ethical conduct duties that ISO 15189:2022 places on every laboratory employee. It covers conflict of interest declaration, resistance to commercial or clinical pressure on results, patient information handling, and consent for use of samples. Indian laboratories also handle patient data under the DPDP Act 2023, which the course addresses in practical terms.</t>
  </si>
  <si>
    <t xml:space="preserve">1. Explain impartiality and confidentiality requirements applicable to all laboratory personnel under ISO 15189:2022
2. Identify situations that create a conflict of interest or undue pressure on reporting
3. Apply laboratory rules for handling, sharing and releasing patient identifiable information
4. Demonstrate correct escalation when confidentiality is breached or impartiality is threatened</t>
  </si>
  <si>
    <t xml:space="preserve">1. Learners can declare a conflict of interest using the laboratory's prescribed format and timing
2. Learners can decide correctly whether a report may be released to a given requester
3. Learners can describe safeguards protecting personal data held in laboratory records and systems
4. Learners can report a suspected confidentiality breach through the correct internal channel</t>
  </si>
  <si>
    <t xml:space="preserve">All laboratory employees including technicians, technologists, phlebotomists, reception and billing staff, data entry operators, housekeeping assigned to the lab, consultants and managers. Required annually for every person working in the laboratory, including interns and trainees.</t>
  </si>
  <si>
    <t xml:space="preserve">MS-POCT-69</t>
  </si>
  <si>
    <t xml:space="preserve">Point-of-Care Testing (POCT) Quality</t>
  </si>
  <si>
    <t xml:space="preserve">Quality oversight for glucometers, rapid tests and bedside analysers across wards and PHCs.</t>
  </si>
  <si>
    <t xml:space="preserve">This short refresher covers quality oversight of glucometers, rapid diagnostic kits, blood gas analysers and other bedside devices used outside the main laboratory. It addresses operator training, internal quality control, lot verification, reagent storage, result recording and linkage to the parent laboratory. Wards, intensive care units, primary health centres and health and wellness centres need this oversight to keep bedside results dependable and auditable.</t>
  </si>
  <si>
    <t xml:space="preserve">1. Explain the quality risks specific to point-of-care testing outside the laboratory
2. Apply daily internal quality control procedures on bedside analysers and kits
3. Identify storage, lot and expiry problems that affect rapid test results
4. Demonstrate correct recording and reporting of point-of-care test results</t>
  </si>
  <si>
    <t xml:space="preserve">1. Learners can run and interpret quality control on a bedside device
2. Learners can recognise when a point-of-care result needs laboratory confirmation
3. Learners can maintain device logs, reagent records and operator training evidence
4. Learners can escalate device faults and control failures to the parent laboratory</t>
  </si>
  <si>
    <t xml:space="preserve">Staff nurses, ward in-charges, ICU and emergency nurses, laboratory technicians, ANMs, Medical Officers and community health officers at primary health centres, plus nursing and MLT students on clinical posting.</t>
  </si>
  <si>
    <t xml:space="preserve">MS-PSG-07</t>
  </si>
  <si>
    <t xml:space="preserve">Patient Safety &amp; International Patient Safety Goals</t>
  </si>
  <si>
    <t xml:space="preserve">Patient Safety &amp; Clinical Risk</t>
  </si>
  <si>
    <t xml:space="preserve">IPSG in practice — correct identification, safe surgery and effective handovers.</t>
  </si>
  <si>
    <t xml:space="preserve">This six-hour refresher covers the International Patient Safety Goals as applied in Indian hospitals: correct patient identification, effective communication and handover, safe use of high-alert medications, correct site and correct procedure surgery, infection prevention and reduction of fall risk. The NABH 6th Edition patient safety requirements rest on these goals, and every patient-facing team needs shared practice around them.</t>
  </si>
  <si>
    <t xml:space="preserve">1. Explain each International Patient Safety Goal and its relevance to hospital care
2. Apply two-identifier patient identification at every point of care and procedure
3. Demonstrate structured handover and read-back for verbal and telephone orders
4. Identify fall risk, high-alert medication risk and surgical site verification failures</t>
  </si>
  <si>
    <t xml:space="preserve">1. Learners can identify patients correctly before medication, sampling and procedures
2. Learners can hand over a patient using a structured communication format
3. Learners can flag high-alert medications and apply the required storage controls
4. Learners can complete a fall risk assessment and set preventive measures</t>
  </si>
  <si>
    <t xml:space="preserve">Staff nurses, ward in-charges, Medical Officers, resident doctors, technicians, pharmacists, physiotherapists, front office and housekeeping staff, and nursing or medical interns; required annually for all patient-facing staff.</t>
  </si>
  <si>
    <t xml:space="preserve">MS-MED-08</t>
  </si>
  <si>
    <t xml:space="preserve">Medication Safety &amp; High-Alert Drugs</t>
  </si>
  <si>
    <t xml:space="preserve">Prevent the errors most scrutinised in audits — LASA drugs and high-alert protocols.</t>
  </si>
  <si>
    <t xml:space="preserve">Medication errors remain among the most scrutinised findings in hospital audits. This course covers safe prescribing, look-alike sound-alike drug separation, high-alert medication protocols, concentrated electrolyte control, independent double checks, labelling of prepared doses, storage, and error reporting. NABH 6th Edition medication management standards expect hospitals to define and train these controls across clinical and pharmacy teams.</t>
  </si>
  <si>
    <t xml:space="preserve">1. Identify look-alike sound-alike and high-alert medicines used in the hospital
2. Apply independent double-check procedures before administering high-risk medications
3. Explain safe storage, labelling and control of concentrated electrolytes
4. Use the incident reporting system for medication errors and near misses</t>
  </si>
  <si>
    <t xml:space="preserve">1. Learners can separate and label LASA medicines correctly in ward stock
2. Learners can perform the five rights check before every medication administration
3. Learners can report a medication error or near miss without delay
4. Learners can explain the hospital protocol for high-alert drug preparation and verification</t>
  </si>
  <si>
    <t xml:space="preserve">Staff nurses, ward in-charges, nursing superintendents, pharmacists and pharmacy technicians, Medical Officers, resident doctors, ICU and emergency staff, and nursing or pharmacy students; required annually for all clinical staff.</t>
  </si>
  <si>
    <t xml:space="preserve">MS-FALL-09</t>
  </si>
  <si>
    <t xml:space="preserve">Fall Prevention &amp; Risk Assessment</t>
  </si>
  <si>
    <t xml:space="preserve">Assess risk and prevent falls — a common, monitored incident on every ward.</t>
  </si>
  <si>
    <t xml:space="preserve">This three-hour refresher covers fall risk assessment, environmental and patient level preventive measures, post-fall management and incident reporting. Falls are a monitored patient safety indicator under NABH 6th Edition, and every inpatient area is expected to screen patients on admission and after any change in condition. The course uses common ward scenarios including elderly, sedated and post-operative patients.</t>
  </si>
  <si>
    <t xml:space="preserve">1. Explain intrinsic and extrinsic factors that increase inpatient fall risk in Indian wards
2. Apply a validated fall risk assessment scale on admission, transfer and condition change
3. Identify environmental hazards and design preventive measures for high-risk patients
4. Demonstrate correct post-fall assessment, documentation and incident reporting steps</t>
  </si>
  <si>
    <t xml:space="preserve">1. Learners can score a patient's fall risk correctly and record it in the nursing notes
2. Learners can select and implement preventive measures matched to the assessed risk level
3. Learners can brief a patient and attendant on fall precautions in plain language
4. Learners can complete a post-fall incident report with timing, injury assessment and actions taken</t>
  </si>
  <si>
    <t xml:space="preserve">Staff nurses, ward in-charges, nursing assistants, physiotherapists, Medical Officers, patient care attendants, housekeeping supervisors, and nursing students on clinical postings in wards, ICUs and day care areas.</t>
  </si>
  <si>
    <t xml:space="preserve">MS-RCA-10</t>
  </si>
  <si>
    <t xml:space="preserve">Root Cause Analysis &amp; Incident Reporting</t>
  </si>
  <si>
    <t xml:space="preserve">Build a just reporting culture and turn incidents into system fixes.</t>
  </si>
  <si>
    <t xml:space="preserve">This course teaches incident reporting, near-miss capture, severity grading, timeline construction, cause-and-effect analysis, the five whys method and corrective and preventive action planning. NABH 6th Edition requires hospitals to report, analyse and learn from sentinel events and adverse events. The course also addresses building a just culture so that staff report freely and findings translate into system changes rather than individual blame.</t>
  </si>
  <si>
    <t xml:space="preserve">1. Explain the principles of a just culture in incident reporting
2. Apply structured root cause analysis methods to adverse events and near misses
3. Identify system and human factors contributing to patient safety incidents
4. Plan corrective and preventive actions with owners, timelines and verification</t>
  </si>
  <si>
    <t xml:space="preserve">1. Learners can complete an incident report with accurate, factual and timely detail
2. Learners can facilitate a root cause analysis meeting for a moderate severity event
3. Learners can distinguish system causes from individual error in incident review
4. Learners can track corrective actions to closure and measure their effect</t>
  </si>
  <si>
    <t xml:space="preserve">Quality managers, patient safety officers, Medical Officers, consultants, ward in-charges, staff nurses, pharmacists, laboratory and radiology staff, and administrators responsible for incident review committees.</t>
  </si>
  <si>
    <t xml:space="preserve">MS-OTS-11</t>
  </si>
  <si>
    <t xml:space="preserve">WHO Surgical Safety Checklist &amp; OT Safety</t>
  </si>
  <si>
    <t xml:space="preserve">Safer surgery for OT, anaesthesia and surgical nursing teams.</t>
  </si>
  <si>
    <t xml:space="preserve">A six-hour course on the WHO Surgical Safety Checklist and wider operation theatre safety. It covers sign in, time out and sign out, site marking, anaesthesia equipment checks, count procedures for sponges and instruments, specimen labelling, theatre discipline and team briefing. NABH 6th Edition expects documented checklist use for every procedure, and this course builds the teamwork that makes it meaningful.</t>
  </si>
  <si>
    <t xml:space="preserve">1. Explain the three phases of the WHO Surgical Safety Checklist in theatre
2. Demonstrate site marking, patient verification and anaesthesia readiness checks before induction
3. Apply sponge, instrument and sharps counting procedures during and after surgery
4. Plan team briefing and debriefing that surfaces concerns before an incident occurs</t>
  </si>
  <si>
    <t xml:space="preserve">1. Learners can run a complete checklist cycle for a scheduled procedure
2. Learners can verify consent, site and implant availability before anaesthesia begins
3. Learners can conduct and document counts and resolve a count discrepancy
4. Learners can label and hand over surgical specimens without identification errors</t>
  </si>
  <si>
    <t xml:space="preserve">OT nurses, scrub and circulating staff, surgeons, anaesthetists, anaesthesia technicians, OT technicians, OT in-charges, CSSD liaison staff and surgical nursing interns posted to operation theatres.</t>
  </si>
  <si>
    <t xml:space="preserve">MS-IPC-12</t>
  </si>
  <si>
    <t xml:space="preserve">Hospital Infection Prevention &amp; Control (IPC)</t>
  </si>
  <si>
    <t xml:space="preserve">Infection Prevention &amp; Control</t>
  </si>
  <si>
    <t xml:space="preserve">The flagship annual course for all staff — standard precautions, HAIs and outbreak response.</t>
  </si>
  <si>
    <t xml:space="preserve">The hospital's flagship annual infection control programme. It covers standard and transmission-based precautions, hand hygiene, personal protective equipment, injection and sharps safety, environmental cleaning, device-associated infection bundles, antimicrobial stewardship basics and outbreak response. NABH 6th Edition requires a functioning infection control programme with trained staff, and BMW Rules 2016 obligations for segregation and handling are addressed alongside.</t>
  </si>
  <si>
    <t xml:space="preserve">1. Explain standard precautions and transmission-based precautions for common hospital pathogens
2. Demonstrate WHO five moments of hand hygiene and correct PPE sequence
3. Apply care bundles that reduce catheter, ventilator and bloodstream infections
4. Identify notifiable events and the hospital pathway for outbreak reporting</t>
  </si>
  <si>
    <t xml:space="preserve">1. Learners can perform hand hygiene and PPE donning and doffing correctly
2. Learners can isolate a patient using the appropriate precaution category and signage
3. Learners can segregate biomedical waste into the correct colour-coded category
4. Learners can escalate a suspected cluster of infections to the infection control team</t>
  </si>
  <si>
    <t xml:space="preserve">All hospital staff including doctors, staff nurses, technicians, housekeeping and laundry workers, CSSD staff, dietary and security personnel, administrators, and students or interns; required annually for clinical and non-clinical staff.</t>
  </si>
  <si>
    <t xml:space="preserve">MS-HH-13</t>
  </si>
  <si>
    <t xml:space="preserve">Hand Hygiene &amp; WHO 5 Moments</t>
  </si>
  <si>
    <t xml:space="preserve">A short refresher on the practice audited continuously across every ward.</t>
  </si>
  <si>
    <t xml:space="preserve">This three-hour refresher covers the WHO Five Moments for Hand Hygiene, handrub and handwash technique, glove use and the common reasons compliance fails at the bedside. Hand hygiene compliance is audited continuously and is a reported infection control indicator under NABH 6th Edition. The course suits wards, ICUs, dialysis units, laboratories and outpatient areas in hospitals and primary health centres.</t>
  </si>
  <si>
    <t xml:space="preserve">1. Explain how hands transmit healthcare associated infection between patients and the care environment
2. Identify the five moments for hand hygiene during routine bedside and procedural care
3. Demonstrate correct handrub and handwash technique with adequate contact time and coverage
4. Apply appropriate glove use without substituting gloves for hand hygiene</t>
  </si>
  <si>
    <t xml:space="preserve">1. Learners can name each of the five moments and give a bedside example of each
2. Learners can perform handrub covering all surfaces within the recommended duration
3. Learners can choose correctly between alcohol handrub and soap and water
4. Learners can complete a simple hand hygiene compliance observation on their own unit</t>
  </si>
  <si>
    <t xml:space="preserve">All clinical and support staff including nurses, doctors, technicians, physiotherapists, housekeeping, dietary and transport staff, plus nursing, medical and paramedical students. Required annually for every clinical and non-clinical staff member.</t>
  </si>
  <si>
    <t xml:space="preserve">MS-AMS-14</t>
  </si>
  <si>
    <t xml:space="preserve">Antimicrobial Stewardship</t>
  </si>
  <si>
    <t xml:space="preserve">Combat antimicrobial resistance — appropriate prescribing for doctors, pharmacists and ICU teams.</t>
  </si>
  <si>
    <t xml:space="preserve">This course covers the principles of antimicrobial stewardship, empirical versus definitive therapy, de-escalation, dose optimisation, duration, surgical prophylaxis and the use of hospital antibiograms. Rising antimicrobial resistance in Indian hospitals makes prescribing discipline urgent, and NABH 6th Edition expects a functioning stewardship programme. WHO guidance on antibiotic categories supports the prescribing decisions taught through case-based discussion in this course.</t>
  </si>
  <si>
    <t xml:space="preserve">1. Explain the drivers of antimicrobial resistance in Indian hospital settings
2. Apply empirical prescribing choices guided by local antibiogram and culture data
3. Demonstrate de-escalation, intravenous to oral switch and duration review at the bedside
4. Use audit and feedback methods to monitor antimicrobial use in wards</t>
  </si>
  <si>
    <t xml:space="preserve">1. Learners can select an empirical regimen appropriate to the suspected source
2. Learners can review therapy at 48 to 72 hours and de-escalate
3. Learners can identify unnecessary prolonged surgical prophylaxis and correct it
4. Learners can contribute antimicrobial consumption data to the stewardship committee</t>
  </si>
  <si>
    <t xml:space="preserve">Consultants, Medical Officers, postgraduate residents, intensivists, clinical pharmacists, microbiologists, infection control nurses, ICU and ward nursing staff, and interns posted in medicine or critical care.</t>
  </si>
  <si>
    <t xml:space="preserve">MS-CSSD-15</t>
  </si>
  <si>
    <t xml:space="preserve">CSSD &amp; Sterilization Practices</t>
  </si>
  <si>
    <t xml:space="preserve">Decontamination and sterile-supply standards for CSSD, OT and housekeeping.</t>
  </si>
  <si>
    <t xml:space="preserve">This six-hour course covers central sterile supply practice: unidirectional workflow, receiving and decontamination, cleaning agents and ultrasonic washers, inspection and packing, autoclave loading and cycle selection, chemical and biological indicators, Bowie-Dick testing, sterile storage, shelf life and recall. NABH 6th Edition and infection control programmes in Indian hospitals depend on a CSSD that can prove every load was processed and monitored correctly.</t>
  </si>
  <si>
    <t xml:space="preserve">1. Explain unidirectional workflow from decontamination through packing, sterilisation and sterile storage
2. Apply correct cleaning, disinfection and inspection methods to surgical instruments and sets
3. Use chemical, biological and Bowie-Dick indicators to monitor each sterilisation cycle
4. Identify conditions that compromise sterility during storage, transport and issue</t>
  </si>
  <si>
    <t xml:space="preserve">1. Learners can process an instrument set through every CSSD stage correctly
2. Learners can read indicator results and withhold a failed load from issue
3. Learners can maintain load records that allow a recall to be traced
4. Learners can judge when a stored pack is no longer fit for use</t>
  </si>
  <si>
    <t xml:space="preserve">CSSD technicians and supervisors, OT nurses, ward nurses handling sterile supplies, infection control nurses, housekeeping supervisors, biomedical staff and nursing or OT technician interns posted to sterile services.</t>
  </si>
  <si>
    <t xml:space="preserve">MS-HAI-16</t>
  </si>
  <si>
    <t xml:space="preserve">HAI Surveillance &amp; Outbreak Management</t>
  </si>
  <si>
    <t xml:space="preserve">Surveillance and response for infection-control nurses and the HIC committee.</t>
  </si>
  <si>
    <t xml:space="preserve">An applied programme for infection control nurses and hospital infection control committee members. It covers surveillance definitions, denominator data, device utilisation and infection rates, data collection forms, trend analysis, feedback to units, outbreak investigation steps, environmental sampling decisions and reporting. NABH 6th Edition expects hospitals to monitor healthcare-associated infection rates and act on the findings through a documented committee process.</t>
  </si>
  <si>
    <t xml:space="preserve">1. Apply standard surveillance definitions for device-associated and surgical site infections
2. Calculate infection rates using correct numerator and denominator data
3. Interpret surveillance trends and present findings to the infection control committee
4. Plan a structured outbreak investigation including case definition and control measures</t>
  </si>
  <si>
    <t xml:space="preserve">1. Learners can run daily surveillance rounds and complete data collection forms accurately
2. Learners can compute and chart device utilisation ratios and infection rates monthly
3. Learners can give unit-level feedback that leads to a documented corrective action
4. Learners can lead the initial steps of an outbreak investigation with the committee</t>
  </si>
  <si>
    <t xml:space="preserve">Infection control nurses and officers, microbiologists, HIC committee members, quality coordinators, ICU and ward in-charges, nursing superintendents, and postgraduate microbiology or public health trainees posted to infection control.</t>
  </si>
  <si>
    <t xml:space="preserve">MS-OTIPC-57</t>
  </si>
  <si>
    <t xml:space="preserve">OT Infection Prevention &amp; Control</t>
  </si>
  <si>
    <t xml:space="preserve">Theatre asepsis, traffic control, environmental cleaning and sterile technique for OT teams.</t>
  </si>
  <si>
    <t xml:space="preserve">This six-hour programme covers operating theatre asepsis, zoning and traffic control, surgical scrub and gowning, environmental cleaning schedules, sterile field maintenance, instrument handling and theatre ventilation monitoring. NABH 6th Edition infection control and surgical care standards require documented theatre practices and surveillance of surgical site infection. Content is aligned to WHO surgical safety and infection prevention guidance and Indian theatre working conditions.</t>
  </si>
  <si>
    <t xml:space="preserve">1. Explain theatre zoning, air handling and traffic control principles that limit microbial contamination
2. Demonstrate surgical hand antisepsis, gowning, gloving and sterile field maintenance without breach
3. Apply between-case, end-of-day and terminal cleaning protocols with correct disinfectants and contact times
4. Plan surgical site infection surveillance and theatre environmental monitoring for the operating complex</t>
  </si>
  <si>
    <t xml:space="preserve">1. Learners can identify and correct a break in sterile technique during a procedure
2. Learners can carry out surgical scrub, gowning and gloving to the required standard
3. Learners can schedule and document theatre cleaning with appropriate disinfectant and contact time
4. Learners can collect surgical site infection data and report it to the infection control committee</t>
  </si>
  <si>
    <t xml:space="preserve">OT nurses and scrub nurses, OT technicians, anaesthesia technicians, surgeons and anaesthetists, CSSD staff, OT housekeeping and attendants, infection control nurses, and nursing or OT technology students posted to theatre.</t>
  </si>
  <si>
    <t xml:space="preserve">MS-SSI-58</t>
  </si>
  <si>
    <t xml:space="preserve">Surgical Site Infection (SSI) Prevention</t>
  </si>
  <si>
    <t xml:space="preserve">Evidence-based SSI bundles from pre-op to discharge, with surveillance and feedback.</t>
  </si>
  <si>
    <t xml:space="preserve">This course sets out the evidence-based surgical site infection prevention bundle across the pre-operative, intra-operative and post-operative phases, including hair removal, skin preparation, timing of prophylaxis, normothermia, theatre discipline, wound dressing and discharge advice. It also covers surveillance, case definitions and feedback to surgical teams. Hospitals report surgical site infection rates as a quality indicator under NABH 6th Edition requirements.</t>
  </si>
  <si>
    <t xml:space="preserve">1. Explain the risk factors and pathogenesis of surgical site infection
2. Apply the pre-operative, intra-operative and post-operative elements of the prevention bundle
3. Demonstrate correct aseptic technique in theatre and during wound dressing
4. Use surveillance definitions to classify and report surgical site infections</t>
  </si>
  <si>
    <t xml:space="preserve">1. Learners can audit bundle compliance for a list of surgical cases
2. Learners can identify lapses in theatre discipline and correct them promptly
3. Learners can classify a wound infection as superficial, deep or organ space
4. Learners can present surgical site infection rates with feedback to operating teams</t>
  </si>
  <si>
    <t xml:space="preserve">Surgeons, anaesthetists, operation theatre nurses, scrub and circulating staff, ward nurses, infection control nurses, central sterile supply staff, theatre technicians, and surgical postgraduate residents or interns.</t>
  </si>
  <si>
    <t xml:space="preserve">MS-BMW-17</t>
  </si>
  <si>
    <t xml:space="preserve">Biomedical Waste Management (BMW Rules 2016)</t>
  </si>
  <si>
    <t xml:space="preserve">Waste, Fire &amp; Facility Safety</t>
  </si>
  <si>
    <t xml:space="preserve">Four-colour segregation, barcoding and annual reporting — legally required every year.</t>
  </si>
  <si>
    <t xml:space="preserve">A six-hour course on the Bio-Medical Waste Management Rules 2016 and their amendments. It covers the four-colour segregation scheme, pre-treatment of laboratory waste, sharps handling, barcoding and bag labelling, storage limits, transport to the common treatment facility, spill management, accident reporting and the annual report to the State Pollution Control Board. Training is a legal duty for every healthcare establishment in India.</t>
  </si>
  <si>
    <t xml:space="preserve">1. Explain the four-colour segregation categories prescribed under BMW Rules 2016
2. Apply correct labelling, barcoding and weighing practice at every waste generation point
3. Demonstrate safe sharps handling, spill response and needle-stick injury reporting
4. Plan record keeping, storage timelines and the annual return to the pollution control board</t>
  </si>
  <si>
    <t xml:space="preserve">1. Learners can segregate any item of hospital waste into the correct container
2. Learners can complete daily waste registers and barcode records without omissions
3. Learners can manage a blood or chemical spill using the prescribed method
4. Learners can compile the data needed for the establishment's annual BMW return</t>
  </si>
  <si>
    <t xml:space="preserve">Staff nurses, housekeeping staff and supervisors, laboratory technicians, ward boys, OT and dialysis staff, infection control nurses, waste handlers, Medical Officers and interns; required annually for all clinical and non-clinical staff.</t>
  </si>
  <si>
    <t xml:space="preserve">MS-SPILL-18</t>
  </si>
  <si>
    <t xml:space="preserve">Spill Management &amp; Chemical Safety</t>
  </si>
  <si>
    <t xml:space="preserve">Safe handling of spills, mercury and hazardous chemicals across the facility.</t>
  </si>
  <si>
    <t xml:space="preserve">A short refresher on managing spills and hazardous chemicals across hospital areas. It covers blood and body fluid spill kits, mercury spill handling, chemical and cytotoxic spills, disinfectant selection and contact time, ventilation, personal protective equipment, safety data sheets and post-spill waste disposal under BMW Rules 2016. Every ward, laboratory and housekeeping team needs this capability on every shift.</t>
  </si>
  <si>
    <t xml:space="preserve">1. Identify spill types and the correct kit and disinfectant for each
2. Demonstrate step-by-step containment and clean-up of a blood spill
3. Explain safe handling of mercury and cytotoxic spills within the facility
4. Use safety data sheets to select protective equipment and storage conditions</t>
  </si>
  <si>
    <t xml:space="preserve">1. Learners can assemble and check a complete spill management kit
2. Learners can clean a body fluid spill using correct disinfectant concentration and contact time
3. Learners can dispose of spill waste in the correct colour-coded container
4. Learners can locate safety data sheets and act on their handling instructions</t>
  </si>
  <si>
    <t xml:space="preserve">Housekeeping staff and supervisors, staff nurses, ward attendants, laboratory technicians, CSSD and laundry workers, pharmacy staff, facility and safety officers, and nursing or MLT students; required annually for all staff.</t>
  </si>
  <si>
    <t xml:space="preserve">MS-FIRE-19</t>
  </si>
  <si>
    <t xml:space="preserve">Fire Safety, Evacuation &amp; Mock Drills</t>
  </si>
  <si>
    <t xml:space="preserve">Required for Fire NOC and NABH FMS — response, extinguishers and evacuation.</t>
  </si>
  <si>
    <t xml:space="preserve">This six-hour programme covers fire prevention, detection and alarm systems, extinguisher selection and use, hospital evacuation of dependent patients, assembly points and mock drill conduct. Hospitals need this for Fire NOC renewal under state fire service rules and for NABH 6th Edition facility management and safety standards. Content includes fire load control in stores, oxygen manifolds, electrical panels and record keeping for drills.</t>
  </si>
  <si>
    <t xml:space="preserve">1. Explain common fire hazards in hospital wards, stores, kitchens and oxygen handling areas
2. Identify fire classes and select the correct extinguisher type for each situation
3. Demonstrate extinguisher operation, alarm activation and the RACE response sequence
4. Plan horizontal and vertical evacuation of dependent patients with defined staff roles</t>
  </si>
  <si>
    <t xml:space="preserve">1. Learners can locate alarm points, extinguishers, hydrants and exit routes on their own floor
2. Learners can operate a fire extinguisher correctly on a live or simulated fire
3. Learners can carry out their assigned role during an evacuation of bedbound patients
4. Learners can record a mock drill with timings, observations and corrective actions identified</t>
  </si>
  <si>
    <t xml:space="preserve">All hospital staff including nurses, doctors, technicians, housekeeping, security, engineering and maintenance, stores, kitchen and front office personnel, plus interns and students. Required annually for all clinical and non-clinical staff.</t>
  </si>
  <si>
    <t xml:space="preserve">MS-FMS-20</t>
  </si>
  <si>
    <t xml:space="preserve">Facility &amp; Environmental Safety (FMS)</t>
  </si>
  <si>
    <t xml:space="preserve">Electrical safety, signage and utilities under the NABH facility-management chapter.</t>
  </si>
  <si>
    <t xml:space="preserve">This course covers electrical safety, medical gas pipelines, water and power backup, lifts, signage, wayfinding, hazardous material storage, fire safety systems and planned preventive maintenance of the hospital building. The NABH 6th Edition facility management and safety chapter requires documented safety rounds, risk assessment and mock drills. The content also supports Kayakalp and NQAS assessment of infrastructure and environmental upkeep in public facilities.</t>
  </si>
  <si>
    <t xml:space="preserve">1. Explain the facility and environmental safety requirements applicable to hospital buildings
2. Identify electrical, gas, water and structural hazards during safety rounds
3. Apply signage, storage and access control standards across clinical and utility areas
4. Plan preventive maintenance schedules and mock drills for critical utilities</t>
  </si>
  <si>
    <t xml:space="preserve">1. Learners can conduct a documented facility safety round and record findings
2. Learners can respond correctly to a utility failure or medical gas alarm
3. Learners can verify that hazardous materials are stored and labelled appropriately
4. Learners can maintain maintenance and drill records expected at assessment</t>
  </si>
  <si>
    <t xml:space="preserve">Facility and maintenance engineers, biomedical staff, electricians, safety officers, housekeeping supervisors, security supervisors, nursing in-charges, administrators and quality coordinators; required annually for all staff with safety duties.</t>
  </si>
  <si>
    <t xml:space="preserve">MS-RAD-21</t>
  </si>
  <si>
    <t xml:space="preserve">Radiation Safety (AERB) for Imaging Staff</t>
  </si>
  <si>
    <t xml:space="preserve">Mandatory safety training for radiology, cath-lab and radiotherapy teams.</t>
  </si>
  <si>
    <t xml:space="preserve">This six-hour course covers radiation protection for imaging and therapy staff under AERB requirements. It explains ionising radiation and dose units, time, distance and shielding, personnel monitoring with TLD badges, dose limits, quality assurance of equipment, protection of pregnant patients and staff, layout and warning signage, and the licensing and reporting duties of radiation facilities in India.</t>
  </si>
  <si>
    <t xml:space="preserve">1. Explain radiation quantities, dose limits and biological effects relevant to imaging staff
2. Apply time, distance and shielding principles during radiography, fluoroscopy and cath-lab procedures
3. Use TLD badges and dose records to monitor occupational exposure correctly
4. Identify AERB licensing, layout approval and incident reporting obligations for radiation facilities</t>
  </si>
  <si>
    <t xml:space="preserve">1. Learners can position themselves and use shielding to minimise occupational dose
2. Learners can explain personnel monitoring results and act on raised readings
3. Learners can screen patients for pregnancy before an imaging examination
4. Learners can list the records an AERB inspection expects from the department</t>
  </si>
  <si>
    <t xml:space="preserve">Radiographers, radiology technologists, radiologists, cath-lab nurses and technicians, radiotherapy and nuclear medicine staff, RSOs, biomedical engineers and radiography interns; required for all staff working with radiation sources.</t>
  </si>
  <si>
    <t xml:space="preserve">MS-MLC-22</t>
  </si>
  <si>
    <t xml:space="preserve">Medico-Legal Case (MLC) &amp; Police Case Management</t>
  </si>
  <si>
    <t xml:space="preserve">Medico-Legal &amp; Regulatory Compliance</t>
  </si>
  <si>
    <t xml:space="preserve">Handle MLCs, police requisitions and evidence correctly — a frequent source of hospital liability.</t>
  </si>
  <si>
    <t xml:space="preserve">Medico-legal cases are a frequent source of hospital liability. This course covers identifying a case as medico-legal, MLC register entries, intimation to police, injury description and documentation, custody of clothing and specimens, chain of custody, dying declarations, handling police requisitions and summons, and release of records. It supports obligations under the Clinical Establishments Act and hospital record-keeping standards.</t>
  </si>
  <si>
    <t xml:space="preserve">1. Identify which presentations must be registered as medico-legal cases
2. Apply correct MLC register entry, intimation and documentation procedures
3. Demonstrate chain of custody for clothing, samples and other evidence
4. Explain lawful responses to police requisitions, summons and record requests</t>
  </si>
  <si>
    <t xml:space="preserve">1. Learners can register an MLC completely and inform police within required timelines
2. Learners can describe injuries factually without recording opinions beyond their competence
3. Learners can preserve and hand over evidence with a signed custody record
4. Learners can respond to a police requisition following hospital and legal procedure</t>
  </si>
  <si>
    <t xml:space="preserve">Emergency Medical Officers, casualty staff nurses, resident doctors, medical records officers, front office and admission staff, duty managers, security supervisors, hospital administrators, and interns posted in casualty; required for all emergency staff.</t>
  </si>
  <si>
    <t xml:space="preserve">MS-CONS-23</t>
  </si>
  <si>
    <t xml:space="preserve">Informed Consent: Law &amp; Documentation</t>
  </si>
  <si>
    <t xml:space="preserve">Take, document and defend valid consent — high-risk, high-litigation and often done poorly.</t>
  </si>
  <si>
    <t xml:space="preserve">This six-hour programme covers the legal basis of informed consent in India, the elements of valid consent, capacity and substitute decision making, consent for minors, emergencies and high-risk procedures, and defensible documentation. NABH 6th Edition specifies a defined list of procedures needing written consent, and PC-PNDT and MTP requirements carry their own consent formats. Poor consent records are a frequent finding in litigation.</t>
  </si>
  <si>
    <t xml:space="preserve">1. Explain the legal elements that make consent valid under Indian law and professional regulation
2. Identify situations requiring written consent, substitute consent or emergency treatment without consent
3. Apply consent procedures for minors, patients lacking capacity and language barriers
4. Demonstrate documentation of the consent discussion, risks disclosed and withdrawal of consent</t>
  </si>
  <si>
    <t xml:space="preserve">1. Learners can decide who may lawfully give consent for a given patient and procedure
2. Learners can conduct a consent discussion covering risks, alternatives and expected outcomes
3. Learners can complete a consent form that withstands audit and medico-legal scrutiny
4. Learners can identify defective consent records during a medical record review</t>
  </si>
  <si>
    <t xml:space="preserve">Consultants, resident doctors, Medical Officers, staff nurses, OT and procedure room nurses, medical records officers, quality and medico-legal staff, and medical or nursing interns. Required for all staff taking or witnessing consent.</t>
  </si>
  <si>
    <t xml:space="preserve">MS-NEG-24</t>
  </si>
  <si>
    <t xml:space="preserve">Medical Negligence &amp; Liability Prevention</t>
  </si>
  <si>
    <t xml:space="preserve">Understand duty of care and negligence, and the everyday practices that prevent claims.</t>
  </si>
  <si>
    <t xml:space="preserve">This certification-grade programme explains duty of care, standard of care, breach, causation and damages, consumer forum and criminal proceedings, consent, medical records as evidence, and the everyday documentation habits that prevent claims. Indian hospitals functioning under the Clinical Establishments Act and accredited under NABH 6th Edition need clinicians and administrators who understand liability and can defend care through complete, contemporaneous records.</t>
  </si>
  <si>
    <t xml:space="preserve">1. Explain the legal elements of medical negligence as applied in India
2. Apply valid consent processes for procedures, anaesthesia and high-risk interventions
3. Identify documentation practices that reduce exposure to negligence claims
4. Plan an institutional response to a complaint, notice or legal proceeding</t>
  </si>
  <si>
    <t xml:space="preserve">1. Learners can take and record consent that meets legal and accreditation expectations
2. Learners can write case notes that stand as reliable evidence later
3. Learners can recognise situations carrying high medico-legal risk and escalate early
4. Learners can handle medical record requests and summons through correct institutional channels</t>
  </si>
  <si>
    <t xml:space="preserve">Consultants, Medical Officers, postgraduate residents, dentists, nursing superintendents, ward in-charges, medical records officers, hospital administrators and legal cell staff; required for all clinicians providing direct patient care.</t>
  </si>
  <si>
    <t xml:space="preserve">MS-DTH-25</t>
  </si>
  <si>
    <t xml:space="preserve">Death Certification &amp; Handling of Deaths</t>
  </si>
  <si>
    <t xml:space="preserve">Certify deaths correctly and manage bodies, documentation and difficult conversations.</t>
  </si>
  <si>
    <t xml:space="preserve">A three-hour refresher on death certification and handling of deaths in hospitals. It covers the Medical Certification of Cause of Death form, cause of death sequencing, registration timelines under the Registration of Births and Deaths Act, brought-dead and medico-legal cases, police intimation, postmortem referral, body identification and release, and communicating a death to the family with care.</t>
  </si>
  <si>
    <t xml:space="preserve">1. Explain the correct completion and sequencing of the medical certificate of cause of death
2. Identify cases requiring police intimation, inquest or postmortem examination
3. Apply hospital procedure for body identification, mortuary handover and release to relatives
4. Demonstrate sensitive communication of a death to family members and attendants</t>
  </si>
  <si>
    <t xml:space="preserve">1. Learners can complete a cause of death certificate without common sequencing errors
2. Learners can decide when a death becomes a medico-legal case
3. Learners can follow the documentation trail from ward to mortuary to release
4. Learners can break news of a death clearly and respectfully to relatives</t>
  </si>
  <si>
    <t xml:space="preserve">Medical Officers, resident doctors, consultants, nursing staff, ward in-charges, mortuary attendants, medical records officers, front office and medico-legal clerks, and medical interns; required for all staff certifying or processing deaths.</t>
  </si>
  <si>
    <t xml:space="preserve">MS-PNDT-26</t>
  </si>
  <si>
    <t xml:space="preserve">PC-PNDT Act Compliance</t>
  </si>
  <si>
    <t xml:space="preserve">Meet PC-PNDT obligations for imaging units — non-compliance carries severe legal penalties.</t>
  </si>
  <si>
    <t xml:space="preserve">A focused compliance refresher for imaging and diagnostic units registered under the PC-PNDT Act. The course covers registration and renewal, mandatory display of notices, Form F completion and submission, record retention, prohibition of sex determination and disclosure, machine registration, and inspection readiness. Non-compliance carries suspension of registration and criminal penalties, so every genetic clinic and ultrasound centre must train its staff.</t>
  </si>
  <si>
    <t xml:space="preserve">1. Explain the prohibitions and duties imposed by the PC-PNDT Act
2. Apply correct Form F completion, signing and monthly submission practice
3. Identify mandatory displays, registration documents and record retention requirements
4. Plan inspection readiness for the district appropriate authority visit</t>
  </si>
  <si>
    <t xml:space="preserve">1. Learners can complete Form F accurately for every eligible ultrasound examination
2. Learners can maintain registration, machine and staff records in inspection-ready order
3. Learners can explain prohibited communication about foetal sex to patients and relatives
4. Learners can identify common documentation lapses that attract penalties during inspection</t>
  </si>
  <si>
    <t xml:space="preserve">Radiologists, sonologists, obstetricians, radiographers and ultrasound technicians, imaging receptionists and record clerks, centre owners, hospital administrators and compliance officers; required for all staff of registered imaging units.</t>
  </si>
  <si>
    <t xml:space="preserve">MS-CEA-27</t>
  </si>
  <si>
    <t xml:space="preserve">Clinical Establishments Act &amp; Statutory Licensing</t>
  </si>
  <si>
    <t xml:space="preserve">Keep registrations, licences and statutory displays in order across the hospital.</t>
  </si>
  <si>
    <t xml:space="preserve">This six-hour programme covers registration and licensing obligations under the Clinical Establishments Act and state adaptations, along with linked statutory requirements such as biomedical waste authorisation under BMW Rules 2016, AERB licences for radiology, PC-PNDT registration, pharmacy and blood bank licences, and mandatory public displays. Participants learn to build a licence register with renewal tracking so that no statutory approval lapses unnoticed.</t>
  </si>
  <si>
    <t xml:space="preserve">1. Explain the registration, standards and record keeping duties under the Clinical Establishments Act
2. Identify every statutory licence, authorisation and registration applicable to the establishment
3. Plan a licence register with ownership, validity dates and advance renewal reminders
4. Apply rules on mandatory displays, rate lists and record retention required by regulators</t>
  </si>
  <si>
    <t xml:space="preserve">1. Learners can compile a complete statutory licence register for their hospital or centre
2. Learners can track renewal timelines and initiate applications before expiry dates
3. Learners can verify that mandatory boards, rate displays and notices are correctly posted
4. Learners can assemble documents required during an inspection by a statutory authority</t>
  </si>
  <si>
    <t xml:space="preserve">Hospital administrators and managers, medical superintendents, quality managers, compliance and legal officers, HR and facility managers, purchase and stores heads, and hospital administration students or management trainees.</t>
  </si>
  <si>
    <t xml:space="preserve">MS-DPDP-28</t>
  </si>
  <si>
    <t xml:space="preserve">Data Privacy &amp; DPDP Act 2023 for Hospitals</t>
  </si>
  <si>
    <t xml:space="preserve">Protect patient data and meet Digital Personal Data Protection Act duties for health records.</t>
  </si>
  <si>
    <t xml:space="preserve">This course explains the duties of a hospital as a data fiduciary under the Digital Personal Data Protection Act 2023, including notice, consent, purpose limitation, retention, security safeguards, breach notification and the rights of patients as data principals. It covers practical controls for electronic medical records, registration desks, laboratory reports, imaging archives and third-party vendors handling health data.</t>
  </si>
  <si>
    <t xml:space="preserve">1. Explain hospital obligations as a data fiduciary under the DPDP Act 2023
2. Apply notice and consent requirements at registration and during clinical care
3. Identify security safeguards for electronic and paper patient records
4. Plan breach detection, escalation and notification steps within the hospital</t>
  </si>
  <si>
    <t xml:space="preserve">1. Learners can handle a patient request to access or correct personal data
2. Learners can recognise and report a personal data breach without delay
3. Learners can apply access controls and retention rules to health records
4. Learners can review vendor arrangements involving patient data for compliance gaps</t>
  </si>
  <si>
    <t xml:space="preserve">Hospital administrators, IT and health information staff, medical records officers, registration and billing staff, Medical Officers, nurses, laboratory and radiology staff; required annually for everyone handling patient information.</t>
  </si>
  <si>
    <t xml:space="preserve">MS-BLS-29</t>
  </si>
  <si>
    <t xml:space="preserve">Basic &amp; Advanced Cardiac Life Support (BLS/ACLS)</t>
  </si>
  <si>
    <t xml:space="preserve">Nursing Skills &amp; Upskilling</t>
  </si>
  <si>
    <t xml:space="preserve">High-quality CPR, airway basics and rapid response expected of clinical staff.</t>
  </si>
  <si>
    <t xml:space="preserve">A twelve-hour certification-grade course in basic and advanced cardiac life support following current resuscitation guidance. It covers recognition of cardiac arrest, high-quality chest compressions, bag-mask ventilation, AED and defibrillator use, airway adjuncts, rhythm recognition, resuscitation drugs, team roles and post-resuscitation care, with hands-on manikin practice. Indian hospitals need trained responders on every shift and NABH expects documented life support training.</t>
  </si>
  <si>
    <t xml:space="preserve">1. Demonstrate high-quality chest compressions and ventilation on adult and paediatric manikins
2. Apply the basic life support sequence including AED use and team switching
3. Interpret shockable and non-shockable rhythms and select the correct ACLS intervention
4. Plan resuscitation team roles, drug administration and post-resuscitation transfer of care</t>
  </si>
  <si>
    <t xml:space="preserve">1. Learners can start effective compressions within seconds of recognising cardiac arrest
2. Learners can operate an AED or defibrillator safely during a resuscitation
3. Learners can lead or support a code team using assigned roles
4. Learners can hand over a resuscitated patient with a complete clinical summary</t>
  </si>
  <si>
    <t xml:space="preserve">Staff nurses, ICU and emergency nurses, Medical Officers, resident doctors, consultants, paramedics, technicians, physiotherapists and nursing or medical interns; required for all clinical staff with periodic recertification.</t>
  </si>
  <si>
    <t xml:space="preserve">MS-ICU-30</t>
  </si>
  <si>
    <t xml:space="preserve">Critical Care / ICU Nursing</t>
  </si>
  <si>
    <t xml:space="preserve">Monitoring, ventilated patients and escalation in high-dependency settings.</t>
  </si>
  <si>
    <t xml:space="preserve">A certification-grade nursing programme for high-dependency and intensive care settings. It covers haemodynamic monitoring, arterial blood gas interpretation, vasoactive drug administration, sedation and pain assessment, nutrition, prevention of device-associated infection, pressure injury prevention, early warning scores and escalation. Indian hospitals expanding critical care capacity need nurses who can recognise deterioration early and act within defined protocols.</t>
  </si>
  <si>
    <t xml:space="preserve">1. Interpret haemodynamic parameters, early warning scores and arterial blood gas results
2. Apply safe administration and titration practice for vasoactive and sedative infusions
3. Demonstrate systematic assessment and handover of a critically ill patient
4. Plan nursing care that prevents pressure injury, delirium and device-associated infection</t>
  </si>
  <si>
    <t xml:space="preserve">1. Learners can recognise clinical deterioration and escalate using the hospital protocol
2. Learners can interpret a basic arterial blood gas and report significant abnormalities
3. Learners can manage infusion pumps and titrate within prescribed limits safely
4. Learners can deliver a structured ICU handover covering systems, lines and pending tasks</t>
  </si>
  <si>
    <t xml:space="preserve">Staff nurses posted to ICU, HDU, emergency and post-operative units, ICU in-charges, nursing supervisors, nurses preparing for critical care roles, and final-year nursing students or interns on critical care posting.</t>
  </si>
  <si>
    <t xml:space="preserve">MS-IV-31</t>
  </si>
  <si>
    <t xml:space="preserve">IV Cannulation &amp; Infusion Therapy</t>
  </si>
  <si>
    <t xml:space="preserve">A core bedside skill standardised across your nursing workforce.</t>
  </si>
  <si>
    <t xml:space="preserve">This six-hour programme standardises peripheral intravenous cannulation and infusion therapy practice. It covers vein selection, aseptic non-touch technique, cannula sizing, securement, dressing, flushing, infusion device use, drug compatibility basics and recognition of phlebitis, infiltration and extravasation. NABH 6th Edition and infection control programmes monitor peripheral line associated complications, so consistent bedside technique across the nursing workforce directly affects reported infection rates.</t>
  </si>
  <si>
    <t xml:space="preserve">1. Explain vein anatomy, site selection and cannula sizing for different infusion requirements
2. Demonstrate aseptic non-touch cannulation, securement and transparent dressing application
3. Apply flushing, line maintenance and dressing change schedules to prevent catheter related complications
4. Identify phlebitis, infiltration and extravasation early and initiate the correct management</t>
  </si>
  <si>
    <t xml:space="preserve">1. Learners can insert a peripheral cannula using aseptic technique on a simulation arm
2. Learners can grade phlebitis using a standard scale and escalate appropriately
3. Learners can set and verify infusion rates on volumetric pumps and syringe pumps
4. Learners can document insertion, site checks and removal in the nursing record</t>
  </si>
  <si>
    <t xml:space="preserve">Staff nurses, ward and ICU nurses, emergency and day care nurses, dialysis nurses, nursing assistants under supervision, Medical Officers, paramedics, and GNM or BSc nursing students in clinical postings.</t>
  </si>
  <si>
    <t xml:space="preserve">MS-WND-32</t>
  </si>
  <si>
    <t xml:space="preserve">Wound Care &amp; Pressure-Injury Prevention</t>
  </si>
  <si>
    <t xml:space="preserve">Assessment and care tied directly to a monitored quality indicator.</t>
  </si>
  <si>
    <t xml:space="preserve">This course covers wound assessment, classification of pressure injuries, risk scoring with recognised scales, repositioning, support surfaces, nutrition, moisture management, dressing selection and documentation of wound progress. Pressure injury rate is a monitored nursing quality indicator under NABH 6th Edition, so wards, intensive care units and long-stay areas need consistent assessment and preventive practice across every shift.</t>
  </si>
  <si>
    <t xml:space="preserve">1. Explain the causes and staging of pressure injuries and chronic wounds
2. Apply a validated risk assessment scale to admitted patients
3. Demonstrate repositioning, skin care and dressing techniques for at-risk patients
4. Use wound documentation and photographs to track healing over time</t>
  </si>
  <si>
    <t xml:space="preserve">1. Learners can assess and stage a pressure injury accurately at the bedside
2. Learners can plan and deliver a preventive care bundle for high-risk patients
3. Learners can select an appropriate dressing for a given wound type
4. Learners can record pressure injury data for the nursing quality indicator</t>
  </si>
  <si>
    <t xml:space="preserve">Staff nurses, ward in-charges, ICU nurses, nursing assistants, physiotherapists, dietitians, Medical Officers, home care nurses and nursing students on clinical posting in medical and surgical wards.</t>
  </si>
  <si>
    <t xml:space="preserve">MS-DOSE-33</t>
  </si>
  <si>
    <t xml:space="preserve">Medication Administration &amp; Dosage Calculation</t>
  </si>
  <si>
    <t xml:space="preserve">Reduce the most common nursing error with confident calculation.</t>
  </si>
  <si>
    <t xml:space="preserve">This six-hour course strengthens safe medication administration and dosage calculation. It covers the rights of administration, prescription reading, unit conversion, tablet and liquid dose calculation, paediatric weight-based dosing, infusion and drip rate calculation, insulin and heparin dosing, high-alert medication controls, look-alike sound-alike drugs and error reporting. Medication error remains a common cause of patient harm in Indian hospital wards.</t>
  </si>
  <si>
    <t xml:space="preserve">1. Apply the rights of medication administration at every drug round
2. Use unit conversion and formulae to calculate tablet, liquid and paediatric doses
3. Interpret infusion orders and calculate drip rates and pump settings accurately
4. Identify high-alert and look-alike sound-alike medications requiring independent double checking</t>
  </si>
  <si>
    <t xml:space="preserve">1. Learners can calculate a weight-based paediatric dose without arithmetic error
2. Learners can set an infusion rate correctly for a prescribed volume and duration
3. Learners can carry out an independent double check on a high-alert medication
4. Learners can report a medication error or near miss through hospital channels</t>
  </si>
  <si>
    <t xml:space="preserve">Staff nurses, ward in-charges, ICU and paediatric nurses, ANMs, GNMs, pharmacists and pharmacy technicians, Medical Officers and nursing students or interns handling medication administration.</t>
  </si>
  <si>
    <t xml:space="preserve">MS-VENT-34</t>
  </si>
  <si>
    <t xml:space="preserve">Ventilator Care &amp; Airway Management</t>
  </si>
  <si>
    <t xml:space="preserve">Ventilator and airway essentials for ICU, HDU and emergency nurses.</t>
  </si>
  <si>
    <t xml:space="preserve">A practical programme on airway management and mechanical ventilation for nurses working in intensive care, high dependency and emergency areas. It covers airway assessment, intubation assistance, endotracheal tube and tracheostomy care, cuff pressure, suctioning, common ventilator modes and alarms, weaning support, and the ventilator-associated pneumonia prevention bundle recommended in WHO and national infection control guidance.</t>
  </si>
  <si>
    <t xml:space="preserve">1. Explain common ventilator modes, settings and the alarms associated with each
2. Demonstrate safe suctioning, cuff pressure checking and tracheostomy care
3. Apply the ventilator-associated pneumonia prevention bundle during every nursing shift
4. Identify airway emergencies such as tube displacement, obstruction and accidental extubation</t>
  </si>
  <si>
    <t xml:space="preserve">1. Learners can prepare equipment and assist safely during intubation and extubation
2. Learners can respond correctly to high pressure and low volume ventilator alarms
3. Learners can maintain cuff pressure and oral care within bundle requirements
4. Learners can recognise a displaced or blocked airway and call for help immediately</t>
  </si>
  <si>
    <t xml:space="preserve">ICU, HDU and emergency staff nurses, respiratory therapists, nursing in-charges, operation theatre and recovery nurses, Medical Officers new to critical care, and nursing students on intensive care posting.</t>
  </si>
  <si>
    <t xml:space="preserve">MS-SBAR-35</t>
  </si>
  <si>
    <t xml:space="preserve">Nursing Documentation &amp; Handover (SBAR)</t>
  </si>
  <si>
    <t xml:space="preserve">Structured handover and documentation — a frequent audit finding, fixed.</t>
  </si>
  <si>
    <t xml:space="preserve">This six-hour programme teaches structured clinical handover using SBAR along with disciplined nursing documentation. It covers shift handover, transfer and discharge handover, telephone orders, read-back verification, entry timing, corrections and abbreviation control. Incomplete handover and documentation are recurring findings during NABH 6th Edition assessment and in medico-legal review, and structured formats measurably reduce information loss between shifts and departments.</t>
  </si>
  <si>
    <t xml:space="preserve">1. Explain how communication failure during handover contributes to patient harm and audit findings
2. Apply the SBAR format to shift, transfer, telephone and escalation communications
3. Demonstrate read-back verification for verbal and telephonic orders and critical results
4. Use documentation rules on timing, signatures, corrections and approved abbreviations</t>
  </si>
  <si>
    <t xml:space="preserve">1. Learners can give a complete SBAR handover for a complex patient within a set time
2. Learners can record a telephone order with read-back and countersignature as policy requires
3. Learners can write nursing notes that are legible, timed, signed and free of unapproved abbreviations
4. Learners can audit a handover against a checklist and identify missing information</t>
  </si>
  <si>
    <t xml:space="preserve">Staff nurses, ward in-charges and nursing supervisors, ICU and emergency nurses, Medical Officers and resident doctors, physiotherapists, medical records staff, and nursing students preparing for clinical responsibility.</t>
  </si>
  <si>
    <t xml:space="preserve">MS-ECG-36</t>
  </si>
  <si>
    <t xml:space="preserve">Basic ECG Interpretation for Nurses</t>
  </si>
  <si>
    <t xml:space="preserve">Read rhythms and escalate faster — a popular, practical short course.</t>
  </si>
  <si>
    <t xml:space="preserve">This practical course teaches correct lead placement, systematic rhythm strip reading, recognition of sinus rhythms, atrial fibrillation, heart blocks, ventricular tachycardia, asystole and ischaemic changes, along with artefact identification. Nurses in emergency departments, intensive care units, wards and primary health centres often record the first tracing, so timely recognition and escalation to the treating doctor shortens the door to treatment interval.</t>
  </si>
  <si>
    <t xml:space="preserve">1. Demonstrate correct electrode placement and acquisition of a twelve-lead ECG
2. Apply a systematic approach to rate, rhythm, axis and interval assessment
3. Identify life-threatening arrhythmias and acute ischaemic changes on a tracing
4. Use structured escalation to communicate abnormal findings to the treating doctor</t>
  </si>
  <si>
    <t xml:space="preserve">1. Learners can record a technically adequate ECG free of common artefacts
2. Learners can recognise atrial fibrillation, heart block and ventricular tachycardia reliably
3. Learners can identify ST segment changes needing immediate medical review
4. Learners can escalate an abnormal tracing using a structured handover format</t>
  </si>
  <si>
    <t xml:space="preserve">Staff nurses, emergency and ICU nurses, ward in-charges, cardiac care technicians, ANMs, community health officers, Medical Officers at primary health centres, and nursing students or interns.</t>
  </si>
  <si>
    <t xml:space="preserve">MS-TRI-37</t>
  </si>
  <si>
    <t xml:space="preserve">Emergency &amp; Triage Nursing</t>
  </si>
  <si>
    <t xml:space="preserve">Emergency &amp; Critical Care</t>
  </si>
  <si>
    <t xml:space="preserve">Rapid triage and prioritisation for casualty and emergency-department staff.</t>
  </si>
  <si>
    <t xml:space="preserve">A twelve-hour course in emergency and triage nursing for casualty departments. It covers triage systems and colour coding, primary and secondary survey, airway and breathing support, shock recognition, trauma and polytrauma handling, stroke and chest pain pathways, poisoning, mass casualty and disaster response, and medico-legal documentation. Indian emergency departments face high, unpredictable loads and need staff who can sort and prioritise reliably.</t>
  </si>
  <si>
    <t xml:space="preserve">1. Apply a structured triage system to sort patients arriving at casualty
2. Demonstrate primary and secondary survey on trauma and medical emergency patients
3. Identify early shock, airway compromise and time-critical conditions needing immediate escalation
4. Plan departmental response to mass casualty incidents and surge situations</t>
  </si>
  <si>
    <t xml:space="preserve">1. Learners can assign a triage category within the first minutes of arrival
2. Learners can stabilise airway, breathing and circulation before definitive care begins
3. Learners can activate stroke, trauma and cardiac pathways without delay
4. Learners can maintain emergency and medico-legal records during a busy shift</t>
  </si>
  <si>
    <t xml:space="preserve">Emergency and casualty nurses, ward nurses rotating to emergency, Medical Officers, emergency physicians, paramedics, ambulance staff, triage assistants and nursing or emergency medicine interns posted to casualty.</t>
  </si>
  <si>
    <t xml:space="preserve">MS-CODE-38</t>
  </si>
  <si>
    <t xml:space="preserve">Code Blue &amp; Rapid Response Team</t>
  </si>
  <si>
    <t xml:space="preserve">Run effective codes and mock drills — a functioning code team NABH expects.</t>
  </si>
  <si>
    <t xml:space="preserve">This course prepares hospitals to run effective cardiac arrest responses. It covers recognition of arrest and peri-arrest states, activating the code blue call, team roles, high quality chest compressions, defibrillation, airway and drug support, closed loop communication, post-resuscitation care, debriefing and documentation. NABH 6th Edition expects a trained code team, defined response times and recorded mock drills across all hospital areas.</t>
  </si>
  <si>
    <t xml:space="preserve">1. Explain code blue activation, response times and defined team member roles
2. Demonstrate high quality chest compressions, bag mask ventilation and defibrillator use
3. Apply closed loop communication and leadership during a resuscitation attempt
4. Plan mock drills and debriefings that improve future team performance</t>
  </si>
  <si>
    <t xml:space="preserve">1. Learners can activate a code and begin compressions within seconds of recognition
2. Learners can take an assigned role in the code team without confusion
3. Learners can complete the code blue record and post-resuscitation handover accurately
4. Learners can run a mock drill and capture improvement points in debriefing</t>
  </si>
  <si>
    <t xml:space="preserve">All clinical staff including doctors, staff nurses, technicians and therapists, plus security, housekeeping and front office staff who may witness collapse; required annually for clinical staff and code team members.</t>
  </si>
  <si>
    <t xml:space="preserve">MS-TRA-39</t>
  </si>
  <si>
    <t xml:space="preserve">Basic Trauma Management</t>
  </si>
  <si>
    <t xml:space="preserve">Initial trauma assessment and stabilisation for ED and surgical teams.</t>
  </si>
  <si>
    <t xml:space="preserve">This six-hour programme covers initial trauma assessment and stabilisation using a primary and secondary survey approach. It includes airway with cervical spine protection, breathing and chest injury recognition, circulation and haemorrhage control, disability assessment, exposure, log roll, splinting and safe transfer. Indian emergency departments and trauma-receiving centres need consistent first-hour care, and the content follows WHO trauma care guidance.</t>
  </si>
  <si>
    <t xml:space="preserve">1. Apply the primary survey sequence to identify and treat immediately life threatening injuries
2. Demonstrate airway management with manual cervical spine stabilisation and collar application
3. Use direct pressure, tourniquet and pelvic binder techniques to control major external haemorrhage
4. Plan safe packaging, monitoring and interhospital transfer of the stabilised trauma patient</t>
  </si>
  <si>
    <t xml:space="preserve">1. Learners can complete a structured primary survey on a simulated multiply injured patient
2. Learners can recognise tension pneumothorax, haemorrhagic shock and head injury deterioration promptly
3. Learners can perform a log roll and apply splints with adequate immobilisation
4. Learners can hand over a trauma patient using a structured format to the receiving team</t>
  </si>
  <si>
    <t xml:space="preserve">Emergency department nurses and Medical Officers, casualty medical officers, surgical and orthopaedic residents, ICU nurses, ambulance paramedics and EMTs, OT nurses, and final year medical or nursing students.</t>
  </si>
  <si>
    <t xml:space="preserve">MS-DIS-40</t>
  </si>
  <si>
    <t xml:space="preserve">Hospital Disaster Management &amp; Mass Casualty</t>
  </si>
  <si>
    <t xml:space="preserve">Disaster preparedness and drills for a coordinated hospital response.</t>
  </si>
  <si>
    <t xml:space="preserve">This certification-grade programme covers hospital hazard vulnerability analysis, the incident command system, code activation, triage in mass casualty events, surge capacity, evacuation, communication lines, supply and morgue planning, and post-event review. NABH 6th Edition requires a documented disaster plan with periodic mock drills, and hospitals in India must be ready for road traffic incidents, fires, floods and disease outbreaks.</t>
  </si>
  <si>
    <t xml:space="preserve">1. Explain the components of a hospital disaster plan and incident command structure
2. Apply mass casualty triage methods to sort patients by clinical priority
3. Plan surge capacity, staffing call-up and supply arrangements for a major incident
4. Demonstrate evacuation and communication procedures during a simulated emergency</t>
  </si>
  <si>
    <t xml:space="preserve">1. Learners can state their assigned role and reporting line during code activation
2. Learners can triage simulated casualties correctly under time pressure
3. Learners can conduct a mock drill and record the debrief findings
4. Learners can identify gaps in the hospital disaster plan after review</t>
  </si>
  <si>
    <t xml:space="preserve">Hospital administrators, emergency physicians, Medical Officers, nursing superintendents, ward in-charges, staff nurses, security and fire safety officers, housekeeping and transport supervisors; required for all staff with disaster roles.</t>
  </si>
  <si>
    <t xml:space="preserve">MS-NRP-41</t>
  </si>
  <si>
    <t xml:space="preserve">Neonatal Resuscitation &amp; NICU Care</t>
  </si>
  <si>
    <t xml:space="preserve">Specialty &amp; Emerging Clinical</t>
  </si>
  <si>
    <t xml:space="preserve">Newborn resuscitation and NICU essentials for obstetric and paediatric units.</t>
  </si>
  <si>
    <t xml:space="preserve">This twelve-hour course covers newborn resuscitation and NICU care following WHO and national newborn care guidance. It includes antenatal risk assessment, delivery room preparation, the resuscitation algorithm, positive pressure ventilation, chest compressions, umbilical access, thermal care, kangaroo mother care, feeding, sepsis screening, jaundice management and safe transport. Labour rooms and newborn units across India need staff competent in the first golden minute.</t>
  </si>
  <si>
    <t xml:space="preserve">1. Apply the neonatal resuscitation algorithm from initial steps to advanced support
2. Demonstrate effective positive pressure ventilation and chest compressions on newborn manikins
3. Plan delivery room preparation, equipment checks and team roles before every birth
4. Identify neonatal sepsis, hypothermia, hypoglycaemia and jaundice needing prompt intervention</t>
  </si>
  <si>
    <t xml:space="preserve">1. Learners can complete initial newborn steps within the first minute of birth
2. Learners can ventilate a non-breathing newborn effectively with bag and mask
3. Learners can maintain thermal care and support kangaroo mother care in the unit
4. Learners can prepare and escort a sick newborn for safe referral transport</t>
  </si>
  <si>
    <t xml:space="preserve">Labour room and NICU nurses, staff nurses, ANMs, paediatricians, obstetricians, Medical Officers, neonatal technicians and nursing, paediatric or midwifery interns posted to maternity and newborn units.</t>
  </si>
  <si>
    <t xml:space="preserve">MS-BLD-42</t>
  </si>
  <si>
    <t xml:space="preserve">Blood Transfusion Safety &amp; Haemovigilance</t>
  </si>
  <si>
    <t xml:space="preserve">Safe transfusion for blood-bank and clinical teams — checks, reactions and reporting.</t>
  </si>
  <si>
    <t xml:space="preserve">A course on safe transfusion practice for blood centre and clinical teams. It covers consent and indication, sample collection for grouping and cross-match, bedside identity checks, storage and cold chain, transport, administration and monitoring, recognition and management of transfusion reactions, haemovigilance reporting and traceability. NABH 6th Edition and blood centre licensing requirements both expect documented competence in these steps.</t>
  </si>
  <si>
    <t xml:space="preserve">1. Explain the transfusion chain from request and cross-match to bedside administration
2. Apply bedside identity and compatibility checks before starting any transfusion
3. Identify acute and delayed transfusion reactions and their immediate management
4. Use the haemovigilance reporting pathway for adverse transfusion events</t>
  </si>
  <si>
    <t xml:space="preserve">1. Learners can perform the two-person bedside check and document it correctly
2. Learners can maintain cold chain and return unused units within permitted time
3. Learners can stop a transfusion and manage a suspected reaction promptly
4. Learners can complete a transfusion reaction investigation form and traceability record</t>
  </si>
  <si>
    <t xml:space="preserve">Blood centre medical officers and technicians, transfusion medicine staff, staff nurses, ICU and operation theatre nurses, resident doctors, ward in-charges, and MLT or nursing students posted to transfusion services.</t>
  </si>
  <si>
    <t xml:space="preserve">MS-DIA-43</t>
  </si>
  <si>
    <t xml:space="preserve">Dialysis Nursing</t>
  </si>
  <si>
    <t xml:space="preserve">Skills for the fast-growing dialysis and nephrology service line.</t>
  </si>
  <si>
    <t xml:space="preserve">This twelve-hour programme prepares nurses for haemodialysis practice. It covers renal failure and dialysis principles, vascular access care for fistulae and catheters, machine setup and priming, dialyser reuse policy, anticoagulation, intradialytic monitoring and complications, water treatment and dialysate quality, and infection control including hepatitis segregation. Dialysis units under NABH 6th Edition and PMNDP require documented staff competence for these tasks.</t>
  </si>
  <si>
    <t xml:space="preserve">1. Explain diffusion, ultrafiltration and dialysis adequacy as applied to routine haemodialysis prescriptions
2. Demonstrate arteriovenous fistula cannulation and aseptic handling of central venous dialysis catheters
3. Apply intradialytic monitoring protocols to detect hypotension, cramps, bleeding and access complications
4. Use water treatment, disinfection and machine reprocessing schedules to maintain dialysate quality</t>
  </si>
  <si>
    <t xml:space="preserve">1. Learners can set up, prime and commence a dialysis session following unit protocol
2. Learners can manage intradialytic hypotension and other common complications under standing orders
3. Learners can assess and document vascular access patency, infection signs and cannulation technique
4. Learners can maintain dialysis records including dry weight, ultrafiltration volume and machine disinfection logs</t>
  </si>
  <si>
    <t xml:space="preserve">Dialysis nurses and technicians, staff nurses moving into nephrology services, nephrology Medical Officers, ICU nurses supporting acute dialysis, biomedical technicians handling dialysis machines, and nursing or dialysis technology students.</t>
  </si>
  <si>
    <t xml:space="preserve">MS-ONC-44</t>
  </si>
  <si>
    <t xml:space="preserve">Oncology / Chemotherapy Administration</t>
  </si>
  <si>
    <t xml:space="preserve">Safe handling and administration for oncology day-care and wards.</t>
  </si>
  <si>
    <t xml:space="preserve">This certification-grade course covers cytotoxic drug handling, closed system transfer devices, safe reconstitution in a biological safety cabinet, verification and double-check protocols, vesicant extravasation management, infusion reactions, spill kits, patient education and cytotoxic waste disposal under BMW Rules 2016. Oncology day-care units and wards need trained staff because errors with these medicines carry serious and often irreversible harm.</t>
  </si>
  <si>
    <t xml:space="preserve">1. Explain the pharmacology and hazard profile of common cytotoxic medicines
2. Apply safe preparation, transport and administration procedures for chemotherapy
3. Demonstrate management of extravasation, hypersensitivity reactions and cytotoxic spills
4. Use double-check and documentation protocols before every chemotherapy administration</t>
  </si>
  <si>
    <t xml:space="preserve">1. Learners can verify a chemotherapy prescription against protocol, dose and patient parameters
2. Learners can administer chemotherapy through the correct route with appropriate precautions
3. Learners can manage an extravasation event and document it fully
4. Learners can dispose of cytotoxic waste as required under BMW Rules 2016</t>
  </si>
  <si>
    <t xml:space="preserve">Oncology nurses, day-care unit nurses, ward nurses, oncologists, Medical Officers, pharmacists preparing cytotoxic doses, pharmacy technicians and nursing students posted in oncology units.</t>
  </si>
  <si>
    <t xml:space="preserve">MS-DBT-45</t>
  </si>
  <si>
    <t xml:space="preserve">Diabetes Care &amp; Management</t>
  </si>
  <si>
    <t xml:space="preserve">Broadly applicable diabetes care for nurses and patient educators.</t>
  </si>
  <si>
    <t xml:space="preserve">A three-hour refresher on practical diabetes care for hospital and primary care teams. It covers types of diabetes, diagnostic criteria, glycaemic targets, oral agents and insulin, injection technique and site rotation, glucose monitoring, recognition of hypoglycaemia and hyperglycaemic emergencies, foot care, diet and activity counselling, and follow-up of patients at health and wellness centres.</t>
  </si>
  <si>
    <t xml:space="preserve">1. Explain diabetes types, diagnostic criteria and glycaemic targets used in clinical practice
2. Demonstrate correct insulin injection technique, storage and site rotation to patients
3. Identify hypoglycaemia and hyperglycaemic emergencies and initiate immediate management
4. Plan patient counselling on diet, foot care, monitoring and follow-up visits</t>
  </si>
  <si>
    <t xml:space="preserve">1. Learners can teach a newly diagnosed patient to self-administer insulin safely
2. Learners can treat a hypoglycaemic episode promptly and record the event
3. Learners can perform a basic diabetic foot screening during a routine visit
4. Learners can explain monitoring and follow-up schedules in simple local language</t>
  </si>
  <si>
    <t xml:space="preserve">Staff nurses, ANMs, ASHAs, Medical Officers at PHCs and health and wellness centres, diabetes educators, dietitians, pharmacists, community health officers and nursing students.</t>
  </si>
  <si>
    <t xml:space="preserve">MS-PAL-46</t>
  </si>
  <si>
    <t xml:space="preserve">Palliative &amp; End-of-Life Care</t>
  </si>
  <si>
    <t xml:space="preserve">Compassionate, skilled care for a growing and under-served need.</t>
  </si>
  <si>
    <t xml:space="preserve">Palliative care needs in India far exceed available services. This course covers identifying patients who benefit from palliative care, pain assessment and the WHO analgesic approach, opioid access and safe prescribing, symptom control, wound and mouth care, communication of serious news, family and caregiver support, advance care planning, and care during the final days including bereavement support.</t>
  </si>
  <si>
    <t xml:space="preserve">1. Identify patients and families who would benefit from a palliative care approach
2. Apply structured pain and symptom assessment tools at the bedside
3. Explain WHO analgesic principles and safe use of oral morphine
4. Demonstrate compassionate communication when discussing prognosis and goals of care</t>
  </si>
  <si>
    <t xml:space="preserve">1. Learners can assess and document pain using a validated scoring tool
2. Learners can manage common symptoms such as breathlessness, nausea and constipation
3. Learners can hold a difficult conversation with a patient's family respectfully
4. Learners can recognise the dying phase and adjust care and monitoring accordingly</t>
  </si>
  <si>
    <t xml:space="preserve">Staff nurses, Medical Officers, oncology and medicine unit doctors, home care nurses, physiotherapists, medical social workers, counsellors, hospice volunteers, and nursing or medical students on palliative care posting.</t>
  </si>
  <si>
    <t xml:space="preserve">MS-ONB-47</t>
  </si>
  <si>
    <t xml:space="preserve">Staff Induction &amp; Onboarding Program</t>
  </si>
  <si>
    <t xml:space="preserve">Onboarding, Ethics &amp; HR Compliance</t>
  </si>
  <si>
    <t xml:space="preserve">A structured orientation for every new joiner — policies, safety and rights from day one.</t>
  </si>
  <si>
    <t xml:space="preserve">This three-hour induction gives every new joiner the essentials before they start work: hospital structure and reporting lines, patient rights and responsibilities, confidentiality and the DPDP Act 2023, hand hygiene and infection control basics, biomedical waste segregation under BMW Rules 2016, fire response, incident reporting and POSH Act 2013 provisions. NABH 6th Edition requires documented orientation for all new staff.</t>
  </si>
  <si>
    <t xml:space="preserve">1. Explain the hospital's structure, reporting lines, policies and code of conduct for new employees
2. Identify patient rights, responsibilities and confidentiality duties applicable to every staff category
3. Apply basic hand hygiene, waste segregation, fire response and incident reporting procedures
4. Explain POSH Act 2013 protections, the Internal Committee and how to raise a complaint</t>
  </si>
  <si>
    <t xml:space="preserve">1. Learners can describe their reporting line, job responsibilities and applicable hospital policies
2. Learners can segregate common waste items into the correct colour coded container
3. Learners can report an incident, hazard or near miss through the prescribed channel
4. Learners can state where to find policies, the Internal Committee and emergency contact numbers</t>
  </si>
  <si>
    <t xml:space="preserve">All new joiners across clinical and non-clinical departments including nurses, doctors, technicians, administration, housekeeping, security, dietary and maintenance staff, plus interns, trainees and contract personnel. Required for every new employee before independent duty.</t>
  </si>
  <si>
    <t xml:space="preserve">MS-POSH-48</t>
  </si>
  <si>
    <t xml:space="preserve">POSH — Prevention of Sexual Harassment</t>
  </si>
  <si>
    <t xml:space="preserve">Statutory awareness under the POSH Act, 2013 — for every employee, every year.</t>
  </si>
  <si>
    <t xml:space="preserve">This short statutory awareness course explains the Sexual Harassment of Women at Workplace (Prevention, Prohibition and Redressal) Act 2013, what conduct amounts to sexual harassment, the role and composition of the Internal Committee, how to make a complaint, timelines for enquiry, confidentiality and protection against retaliation. Every hospital, laboratory and health centre covered by the Act must run this awareness programme for its workforce.</t>
  </si>
  <si>
    <t xml:space="preserve">1. Explain the scope and definitions of the POSH Act 2013
2. Identify behaviour that constitutes sexual harassment in a hospital workplace
3. Explain the complaint, enquiry and redressal process under the Act
4. Apply bystander and reporting responsibilities in everyday workplace situations</t>
  </si>
  <si>
    <t xml:space="preserve">1. Learners can recognise conduct that would amount to sexual harassment at work
2. Learners can describe how to approach the Internal Committee with a complaint
3. Learners can state the confidentiality and anti-retaliation protections available to complainants
4. Learners can respond appropriately when a colleague reports an incident to them</t>
  </si>
  <si>
    <t xml:space="preserve">Required annually for every employee, including doctors, nurses, technicians, pharmacists, administrative and accounts staff, housekeeping, security, drivers, contract workers, and students or interns placed at the organisation.</t>
  </si>
  <si>
    <t xml:space="preserve">MS-PR-49</t>
  </si>
  <si>
    <t xml:space="preserve">Patient Rights &amp; Responsibilities</t>
  </si>
  <si>
    <t xml:space="preserve">A dedicated NABH chapter, for every patient-facing member of staff.</t>
  </si>
  <si>
    <t xml:space="preserve">A three-hour refresher on the patient rights and responsibilities chapter of NABH 6th Edition. It covers information and informed consent, privacy and dignity, confidentiality and the DPDP Act 2023, refusal of treatment, second opinion, tariff transparency and estimates, protection of vulnerable patients, complaint and grievance handling, and the responsibilities patients and attendants carry within the hospital.</t>
  </si>
  <si>
    <t xml:space="preserve">1. Explain the patient rights recognised under NABH 6th Edition and Indian law
2. Apply informed consent practice for procedures, anaesthesia, blood transfusion and research
3. Demonstrate protection of patient privacy, dignity and confidentiality during routine care
4. Use the hospital grievance procedure to record and resolve patient complaints</t>
  </si>
  <si>
    <t xml:space="preserve">1. Learners can display and explain patient rights to patients and attendants
2. Learners can obtain valid informed consent and document it correctly
3. Learners can safeguard patient information in line with DPDP Act 2023 duties
4. Learners can log a complaint and follow it through to documented closure</t>
  </si>
  <si>
    <t xml:space="preserve">All patient-facing staff including nurses, Medical Officers, front office and billing staff, security, housekeeping, technicians, counsellors and interns; required annually for every clinical and non-clinical employee.</t>
  </si>
  <si>
    <t xml:space="preserve">MS-ETH-50</t>
  </si>
  <si>
    <t xml:space="preserve">Code of Conduct, Ethics &amp; Professionalism</t>
  </si>
  <si>
    <t xml:space="preserve">Culture, ethics and professional conduct as a standard onboarding module.</t>
  </si>
  <si>
    <t xml:space="preserve">A short onboarding module on professional conduct in hospital settings. It covers the hospital code of conduct, patient confidentiality and the obligations introduced by the DPDP Act 2023, informed consent, conflict of interest, gifts and referrals, respectful behaviour towards patients and colleagues, social media use, and the workplace expectations set by the POSH Act 2013 for a safe and dignified environment.</t>
  </si>
  <si>
    <t xml:space="preserve">1. Explain the hospital code of conduct and the behaviour expected from staff
2. Apply confidentiality rules to patient records, conversations and digital information
3. Identify conflicts of interest, improper referrals and gift-related risks
4. Explain employee rights and duties under the POSH Act 2013</t>
  </si>
  <si>
    <t xml:space="preserve">1. Learners can protect patient information in wards, corridors and on messaging applications
2. Learners can recognise unprofessional conduct and use the correct reporting channel
3. Learners can describe consent requirements before procedures, photography and data sharing
4. Learners can act respectfully towards patients, attendants and colleagues in daily work</t>
  </si>
  <si>
    <t xml:space="preserve">All new joiners across clinical and non-clinical departments, including doctors, nurses, technicians, administrative staff, housekeeping, security and outsourced personnel, along with students, interns and trainees during induction.</t>
  </si>
  <si>
    <t xml:space="preserve">MS-PX-51</t>
  </si>
  <si>
    <t xml:space="preserve">Patient Experience &amp; Service Excellence</t>
  </si>
  <si>
    <t xml:space="preserve">Patient Experience &amp; Soft Skills</t>
  </si>
  <si>
    <t xml:space="preserve">Lift satisfaction scores, reviews and repeat footfall through better patient experience.</t>
  </si>
  <si>
    <t xml:space="preserve">This three-hour programme covers practical patient experience improvement: first contact behaviour, waiting time communication, empathy in difficult conversations, attendant management, complaint handling and service recovery, and feedback collection. NABH 6th Edition requires a patient feedback and grievance redressal system, and NQAS assesses patient satisfaction in public facilities. The course addresses realistic Indian outpatient, inpatient and emergency settings.</t>
  </si>
  <si>
    <t xml:space="preserve">1. Explain how service touchpoints across the patient journey shape overall satisfaction ratings
2. Demonstrate empathetic communication with anxious patients and demanding attendants
3. Apply a service recovery approach to complaints, delays and billing disputes
4. Use feedback and grievance data to identify recurring service failures for correction</t>
  </si>
  <si>
    <t xml:space="preserve">1. Learners can greet, orient and set expectations for a patient at first contact
2. Learners can de-escalate an upset attendant without arguing or escalating the situation
3. Learners can log a complaint and close it within the hospital's defined timeline
4. Learners can summarise feedback trends and propose one practical service improvement</t>
  </si>
  <si>
    <t xml:space="preserve">Front office and reception staff, billing and insurance desk personnel, staff nurses and ward in-charges, patient relations executives, security personnel, housekeeping supervisors, Medical Officers, and hospital administration interns.</t>
  </si>
  <si>
    <t xml:space="preserve">MS-COMM-52</t>
  </si>
  <si>
    <t xml:space="preserve">Communication Skills &amp; Breaking Bad News</t>
  </si>
  <si>
    <t xml:space="preserve">Clear, compassionate communication for doctors and nurses.</t>
  </si>
  <si>
    <t xml:space="preserve">This short course covers structured clinical communication, active listening, explaining diagnosis and treatment in plain language, managing anxious or angry attendants, and a stepwise approach to breaking bad news and discussing death. Clear communication reduces complaints and disputes in busy Indian outpatient departments and wards, and supports the patient rights and education requirements of the NABH 6th Edition standard.</t>
  </si>
  <si>
    <t xml:space="preserve">1. Explain the elements of effective clinician and patient communication
2. Apply a stepwise protocol for delivering bad news to families
3. Demonstrate active listening and empathy during difficult conversations
4. Use plain language to explain diagnosis, treatment options and costs</t>
  </si>
  <si>
    <t xml:space="preserve">1. Learners can conduct a bad news conversation using a structured sequence
2. Learners can de-escalate an angry attendant without losing clinical control
3. Learners can check patient understanding before concluding a consultation
4. Learners can document sensitive discussions and consent conversations accurately</t>
  </si>
  <si>
    <t xml:space="preserve">Consultants, Medical Officers, postgraduate residents, staff nurses, ward in-charges, counsellors, front office and patient relations staff, medical social workers, and medical or nursing interns.</t>
  </si>
  <si>
    <t xml:space="preserve">MS-DEE-53</t>
  </si>
  <si>
    <t xml:space="preserve">Handling Difficult Patients &amp; De-escalation</t>
  </si>
  <si>
    <t xml:space="preserve">Frontline conflict management and safe de-escalation.</t>
  </si>
  <si>
    <t xml:space="preserve">This three-hour refresher helps frontline hospital staff manage angry, anxious or aggressive patients and attendants. It covers early warning signs, listening and acknowledgement, tone and body language, setting limits, managing waiting-time and billing disputes, breaking bad news calmly, personal safety positioning, when to call security, and incident reporting after a violent or threatening encounter.</t>
  </si>
  <si>
    <t xml:space="preserve">1. Identify early behavioural signs that a patient or attendant may become aggressive
2. Apply listening, acknowledgement and calm language to reduce rising tension
3. Demonstrate safe positioning, exit awareness and escalation to security personnel
4. Plan post-incident reporting, debriefing and staff support after a violent encounter</t>
  </si>
  <si>
    <t xml:space="preserve">1. Learners can defuse a common complaint before it becomes a confrontation
2. Learners can maintain a safe distance and exit route during aggressive encounters
3. Learners can call for security help at the right point
4. Learners can record an incident accurately for hospital review and action</t>
  </si>
  <si>
    <t xml:space="preserve">Front office and registration staff, security personnel, staff nurses, ward in-charges, billing and insurance desk staff, Medical Officers, counsellors, housekeeping supervisors, ambulance crew and hospital administration interns.</t>
  </si>
  <si>
    <t xml:space="preserve">MS-GRV-54</t>
  </si>
  <si>
    <t xml:space="preserve">Grievance &amp; Complaint Handling</t>
  </si>
  <si>
    <t xml:space="preserve">Resolve complaints well — for front office, PROs and duty managers.</t>
  </si>
  <si>
    <t xml:space="preserve">A short skills module on handling patient and attendant complaints. It covers receiving a grievance calmly, active listening, acknowledging concerns, de-escalating anger, recording the complaint, timelines for response, escalation levels, closing the loop with the complainant and using complaint trends for improvement. NABH 6th Edition requires hospitals to have a documented grievance redressal process with defined response times.</t>
  </si>
  <si>
    <t xml:space="preserve">1. Apply active listening and de-escalation techniques when receiving an angry complaint
2. Explain the hospital grievance process, escalation levels and response timelines
3. Demonstrate accurate recording and acknowledgement of a patient complaint
4. Interpret complaint trends to recommend service improvements to management</t>
  </si>
  <si>
    <t xml:space="preserve">1. Learners can calm an agitated attendant and gather the facts clearly
2. Learners can log a complaint with complete details and route it appropriately
3. Learners can close a grievance with the complainant within the stated timeline
4. Learners can summarise monthly complaint themes for the patient experience committee</t>
  </si>
  <si>
    <t xml:space="preserve">Front office and reception staff, patient relations officers, duty managers, billing and admission staff, ward in-charges, nursing supervisors, security supervisors, quality coordinators, and hospital administration students on internship.</t>
  </si>
  <si>
    <t xml:space="preserve">MS-MR-55</t>
  </si>
  <si>
    <t xml:space="preserve">Medical Records &amp; Clinical Documentation</t>
  </si>
  <si>
    <t xml:space="preserve">Documentation, Coding &amp; Digital Health</t>
  </si>
  <si>
    <t xml:space="preserve">Complete, legible records — a recurring audit finding, addressed head-on.</t>
  </si>
  <si>
    <t xml:space="preserve">This six-hour programme covers medical record content, legibility, timeliness, entry signing and correction, initial assessment and reassessment notes, discharge summary quality, record retention and release, and record completeness audit. Incomplete documentation is a recurring NABH 6th Edition finding and weakens the hospital's position in medico-legal matters. Patient record confidentiality under the DPDP Act 2023 is also addressed.</t>
  </si>
  <si>
    <t xml:space="preserve">1. Explain the mandatory contents, sequence and retention periods for inpatient and outpatient records
2. Apply rules on legibility, dating, timing, signature, authentication and correction of entries
3. Demonstrate writing an initial assessment, progress note and discharge summary to required standards
4. Plan a medical record completeness audit with sampling, scoring and feedback to departments</t>
  </si>
  <si>
    <t xml:space="preserve">1. Learners can assemble a complete patient record file in the prescribed order
2. Learners can correct an erroneous entry without obliterating the original information
3. Learners can write a discharge summary containing diagnosis, treatment, medication and follow-up instructions
4. Learners can score a sample of records for completeness and report gaps to clinicians</t>
  </si>
  <si>
    <t xml:space="preserve">Medical records officers and technicians, staff nurses, resident doctors and Medical Officers, consultants, quality and audit staff, admission and discharge desk personnel, coding staff, and medical or health information management interns.</t>
  </si>
  <si>
    <t xml:space="preserve">MS-COD-56</t>
  </si>
  <si>
    <t xml:space="preserve">ICD Coding &amp; EMR/HIS Proficiency</t>
  </si>
  <si>
    <t xml:space="preserve">Coding and digital-record skills for insurance, analytics and NABH's digital push.</t>
  </si>
  <si>
    <t xml:space="preserve">This certification-grade course covers ICD coding conventions, chapter structure, principal and secondary diagnosis selection, procedure coding, common coding errors, and the use of hospital information systems and electronic medical records for capture, discharge summaries and claims. Accurate coding supports insurance and Ayushman Bharat claims, clinical audit and the health information requirements of the NABH 6th Edition standard.</t>
  </si>
  <si>
    <t xml:space="preserve">1. Explain ICD structure, conventions and the rules for code selection
2. Apply coding guidelines to select principal and secondary diagnoses accurately
3. Use hospital information system and electronic medical record functions for clinical documentation
4. Identify documentation gaps that lead to coding errors and claim rejections</t>
  </si>
  <si>
    <t xml:space="preserve">1. Learners can code a complete inpatient case record without supervision
2. Learners can query clinicians appropriately when documentation is unclear or incomplete
3. Learners can prepare coded data for insurance claims and clinical audit
4. Learners can navigate the hospital information system to retrieve and verify records</t>
  </si>
  <si>
    <t xml:space="preserve">Medical records officers, coders, billing and insurance desk staff, health information management staff, Medical Officers, discharge summary writers, quality coordinators, IT staff and health information management students.</t>
  </si>
  <si>
    <t xml:space="preserve">Tier</t>
  </si>
  <si>
    <t xml:space="preserve">Course depth</t>
  </si>
  <si>
    <t xml:space="preserve">Learning hours</t>
  </si>
  <si>
    <t xml:space="preserve">Courses in tier</t>
  </si>
  <si>
    <t xml:space="preserve">Indian market benchmark for comparable training (Sept 2026)</t>
  </si>
  <si>
    <t xml:space="preserve">Tier 1</t>
  </si>
  <si>
    <t xml:space="preserve">Refresher / awareness</t>
  </si>
  <si>
    <t xml:space="preserve">3 hours</t>
  </si>
  <si>
    <t xml:space="preserve">Online short compliance and awareness certificates commonly sell at ₹2,000 to ₹3,500.</t>
  </si>
  <si>
    <t xml:space="preserve">Tier 2</t>
  </si>
  <si>
    <t xml:space="preserve">Standard course</t>
  </si>
  <si>
    <t xml:space="preserve">6 hours</t>
  </si>
  <si>
    <t xml:space="preserve">NABH awareness and documentation e-learning is listed at ₹8,500 to ₹9,400 plus GST (hospitalaccreditation.in); biomedical waste certificate ₹6,500 listed, ₹3,250 offered (skillcouncil.in).</t>
  </si>
  <si>
    <t xml:space="preserve">Tier 3</t>
  </si>
  <si>
    <t xml:space="preserve">Intensive / certification</t>
  </si>
  <si>
    <t xml:space="preserve">12 to 16 hours</t>
  </si>
  <si>
    <t xml:space="preserve">AHA BLS and ACLS classroom programmes run about ₹8,000 to ₹15,000; ISO 15189:2022 auditor training is listed at USD 359, roughly ₹30,000 (punyamacademy.com); QCI and BIS four-day laboratory internal audit programmes are in the ₹12,000 to ₹18,000 range.</t>
  </si>
  <si>
    <t xml:space="preserve">Total</t>
  </si>
  <si>
    <t xml:space="preserve">Pricing notes</t>
  </si>
  <si>
    <t xml:space="preserve">Fee is per learner and includes assessment and a QR-verified certificate. GST is charged extra.</t>
  </si>
  <si>
    <t xml:space="preserve">MRP is the struck-through anchor price shown on the course page; the discount is presented as a launch offer.</t>
  </si>
  <si>
    <t xml:space="preserve">Bundle, department and hospital-wide licences are quoted separately and sit below the per-learner fee.</t>
  </si>
  <si>
    <t xml:space="preserve">Benchmarks were taken from publicly listed prices in September 2026 and should be re-checked before each campaign.</t>
  </si>
</sst>
</file>

<file path=xl/styles.xml><?xml version="1.0" encoding="utf-8"?>
<styleSheet xmlns="http://schemas.openxmlformats.org/spreadsheetml/2006/main">
  <numFmts count="3">
    <numFmt numFmtId="164" formatCode="General"/>
    <numFmt numFmtId="165" formatCode="\₹#,##0"/>
    <numFmt numFmtId="166" formatCode="0%"/>
  </numFmts>
  <fonts count="14">
    <font>
      <sz val="11"/>
      <color theme="1"/>
      <name val="Calibri"/>
      <family val="2"/>
      <charset val="1"/>
    </font>
    <font>
      <sz val="10"/>
      <name val="Arial"/>
      <family val="0"/>
    </font>
    <font>
      <sz val="10"/>
      <name val="Arial"/>
      <family val="0"/>
    </font>
    <font>
      <sz val="10"/>
      <name val="Arial"/>
      <family val="0"/>
    </font>
    <font>
      <b val="true"/>
      <sz val="16"/>
      <color rgb="FF1B2340"/>
      <name val="Arial"/>
      <family val="0"/>
      <charset val="1"/>
    </font>
    <font>
      <sz val="10"/>
      <name val="Arial"/>
      <family val="0"/>
      <charset val="1"/>
    </font>
    <font>
      <b val="true"/>
      <sz val="11"/>
      <color rgb="FFFFFFFF"/>
      <name val="Arial"/>
      <family val="0"/>
      <charset val="1"/>
    </font>
    <font>
      <b val="true"/>
      <sz val="10"/>
      <color rgb="FFFFFFFF"/>
      <name val="Arial"/>
      <family val="0"/>
      <charset val="1"/>
    </font>
    <font>
      <b val="true"/>
      <sz val="10"/>
      <color rgb="FFC0208A"/>
      <name val="Arial"/>
      <family val="0"/>
      <charset val="1"/>
    </font>
    <font>
      <b val="true"/>
      <sz val="10"/>
      <color rgb="FF1B2340"/>
      <name val="Arial"/>
      <family val="0"/>
      <charset val="1"/>
    </font>
    <font>
      <strike val="true"/>
      <sz val="10"/>
      <color rgb="FF7B7689"/>
      <name val="Arial"/>
      <family val="0"/>
      <charset val="1"/>
    </font>
    <font>
      <b val="true"/>
      <sz val="10"/>
      <color rgb="FF6E2A8C"/>
      <name val="Arial"/>
      <family val="0"/>
      <charset val="1"/>
    </font>
    <font>
      <b val="true"/>
      <sz val="10"/>
      <name val="Arial"/>
      <family val="0"/>
      <charset val="1"/>
    </font>
    <font>
      <sz val="10"/>
      <color rgb="FF1B2340"/>
      <name val="Arial"/>
      <family val="0"/>
      <charset val="1"/>
    </font>
  </fonts>
  <fills count="5">
    <fill>
      <patternFill patternType="none"/>
    </fill>
    <fill>
      <patternFill patternType="gray125"/>
    </fill>
    <fill>
      <patternFill patternType="solid">
        <fgColor rgb="FF6E2A8C"/>
        <bgColor rgb="FF333399"/>
      </patternFill>
    </fill>
    <fill>
      <patternFill patternType="solid">
        <fgColor rgb="FF1B2340"/>
        <bgColor rgb="FF003366"/>
      </patternFill>
    </fill>
    <fill>
      <patternFill patternType="solid">
        <fgColor rgb="FFFCF6FB"/>
        <bgColor rgb="FFFFFFFF"/>
      </patternFill>
    </fill>
  </fills>
  <borders count="2">
    <border diagonalUp="false" diagonalDown="false">
      <left/>
      <right/>
      <top/>
      <bottom/>
      <diagonal/>
    </border>
    <border diagonalUp="false" diagonalDown="false">
      <left/>
      <right/>
      <top/>
      <bottom style="thin">
        <color rgb="FFECE0ED"/>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2" borderId="0" xfId="0" applyFont="true" applyBorder="false" applyAlignment="true" applyProtection="false">
      <alignment horizontal="general" vertical="top" textRotation="0" wrapText="true" indent="0" shrinkToFit="false"/>
      <protection locked="true" hidden="false"/>
    </xf>
    <xf numFmtId="164" fontId="7" fillId="3" borderId="0" xfId="0" applyFont="true" applyBorder="false" applyAlignment="true" applyProtection="false">
      <alignment horizontal="general" vertical="center" textRotation="0" wrapText="true" indent="0" shrinkToFit="false"/>
      <protection locked="true" hidden="false"/>
    </xf>
    <xf numFmtId="164" fontId="8" fillId="4" borderId="1" xfId="0" applyFont="true" applyBorder="true" applyAlignment="true" applyProtection="false">
      <alignment horizontal="general" vertical="top" textRotation="0" wrapText="true" indent="0" shrinkToFit="false"/>
      <protection locked="true" hidden="false"/>
    </xf>
    <xf numFmtId="164" fontId="9" fillId="4" borderId="1" xfId="0" applyFont="true" applyBorder="true" applyAlignment="true" applyProtection="false">
      <alignment horizontal="general" vertical="top" textRotation="0" wrapText="true" indent="0" shrinkToFit="false"/>
      <protection locked="true" hidden="false"/>
    </xf>
    <xf numFmtId="164" fontId="5" fillId="4" borderId="1" xfId="0" applyFont="true" applyBorder="true" applyAlignment="true" applyProtection="false">
      <alignment horizontal="general" vertical="top" textRotation="0" wrapText="true" indent="0" shrinkToFit="false"/>
      <protection locked="true" hidden="false"/>
    </xf>
    <xf numFmtId="164" fontId="5" fillId="4" borderId="1" xfId="0" applyFont="true" applyBorder="true" applyAlignment="true" applyProtection="false">
      <alignment horizontal="center" vertical="top" textRotation="0" wrapText="false" indent="0" shrinkToFit="false"/>
      <protection locked="true" hidden="false"/>
    </xf>
    <xf numFmtId="165" fontId="10" fillId="4" borderId="1" xfId="0" applyFont="true" applyBorder="true" applyAlignment="true" applyProtection="false">
      <alignment horizontal="general" vertical="top" textRotation="0" wrapText="true" indent="0" shrinkToFit="false"/>
      <protection locked="true" hidden="false"/>
    </xf>
    <xf numFmtId="166" fontId="5" fillId="4" borderId="1" xfId="0" applyFont="true" applyBorder="true" applyAlignment="true" applyProtection="false">
      <alignment horizontal="center" vertical="top" textRotation="0" wrapText="false" indent="0" shrinkToFit="false"/>
      <protection locked="true" hidden="false"/>
    </xf>
    <xf numFmtId="165" fontId="11" fillId="4" borderId="1" xfId="0" applyFont="true" applyBorder="true" applyAlignment="true" applyProtection="false">
      <alignment horizontal="general" vertical="top" textRotation="0" wrapText="true" indent="0" shrinkToFit="false"/>
      <protection locked="true" hidden="false"/>
    </xf>
    <xf numFmtId="164" fontId="8" fillId="0" borderId="1" xfId="0" applyFont="true" applyBorder="true" applyAlignment="true" applyProtection="false">
      <alignment horizontal="general" vertical="top" textRotation="0" wrapText="true" indent="0" shrinkToFit="false"/>
      <protection locked="true" hidden="false"/>
    </xf>
    <xf numFmtId="164" fontId="9" fillId="0" borderId="1" xfId="0" applyFont="true" applyBorder="true" applyAlignment="true" applyProtection="false">
      <alignment horizontal="general" vertical="top" textRotation="0" wrapText="tru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4" fontId="5" fillId="0" borderId="1" xfId="0" applyFont="true" applyBorder="true" applyAlignment="true" applyProtection="false">
      <alignment horizontal="center" vertical="top" textRotation="0" wrapText="false" indent="0" shrinkToFit="false"/>
      <protection locked="true" hidden="false"/>
    </xf>
    <xf numFmtId="165" fontId="10" fillId="0" borderId="1" xfId="0" applyFont="true" applyBorder="true" applyAlignment="true" applyProtection="false">
      <alignment horizontal="general" vertical="top" textRotation="0" wrapText="true" indent="0" shrinkToFit="false"/>
      <protection locked="true" hidden="false"/>
    </xf>
    <xf numFmtId="166" fontId="5" fillId="0" borderId="1" xfId="0" applyFont="true" applyBorder="true" applyAlignment="true" applyProtection="false">
      <alignment horizontal="center" vertical="top" textRotation="0" wrapText="false" indent="0" shrinkToFit="false"/>
      <protection locked="true" hidden="false"/>
    </xf>
    <xf numFmtId="165" fontId="11" fillId="0" borderId="1" xfId="0" applyFont="true" applyBorder="true" applyAlignment="true" applyProtection="false">
      <alignment horizontal="general" vertical="top" textRotation="0" wrapText="true" indent="0" shrinkToFit="false"/>
      <protection locked="true" hidden="false"/>
    </xf>
    <xf numFmtId="164" fontId="8" fillId="0" borderId="0" xfId="0" applyFont="true" applyBorder="false" applyAlignment="true" applyProtection="false">
      <alignment horizontal="general" vertical="top" textRotation="0" wrapText="true" indent="0" shrinkToFit="false"/>
      <protection locked="true" hidden="false"/>
    </xf>
    <xf numFmtId="165" fontId="10" fillId="0" borderId="0" xfId="0" applyFont="true" applyBorder="false" applyAlignment="true" applyProtection="false">
      <alignment horizontal="general" vertical="top" textRotation="0" wrapText="true" indent="0" shrinkToFit="false"/>
      <protection locked="true" hidden="false"/>
    </xf>
    <xf numFmtId="165" fontId="11" fillId="0" borderId="0" xfId="0" applyFont="true" applyBorder="false" applyAlignment="true" applyProtection="false">
      <alignment horizontal="general" vertical="top" textRotation="0" wrapText="true" indent="0" shrinkToFit="false"/>
      <protection locked="true" hidden="false"/>
    </xf>
    <xf numFmtId="166" fontId="5" fillId="0" borderId="0" xfId="0" applyFont="true" applyBorder="false" applyAlignment="true" applyProtection="false">
      <alignment horizontal="general" vertical="top" textRotation="0" wrapText="true" indent="0" shrinkToFit="false"/>
      <protection locked="true" hidden="false"/>
    </xf>
    <xf numFmtId="164" fontId="12" fillId="0" borderId="0" xfId="0" applyFont="true" applyBorder="false" applyAlignment="true" applyProtection="false">
      <alignment horizontal="general" vertical="top" textRotation="0" wrapText="true" indent="0" shrinkToFit="false"/>
      <protection locked="true" hidden="false"/>
    </xf>
    <xf numFmtId="165" fontId="12" fillId="0" borderId="0" xfId="0" applyFont="true" applyBorder="false" applyAlignment="true" applyProtection="false">
      <alignment horizontal="general" vertical="top" textRotation="0" wrapText="true" indent="0" shrinkToFit="false"/>
      <protection locked="true" hidden="false"/>
    </xf>
    <xf numFmtId="166" fontId="12" fillId="0" borderId="0" xfId="0" applyFont="true" applyBorder="false" applyAlignment="true" applyProtection="false">
      <alignment horizontal="general" vertical="top" textRotation="0" wrapText="true" indent="0" shrinkToFit="false"/>
      <protection locked="true" hidden="false"/>
    </xf>
    <xf numFmtId="164" fontId="9" fillId="0" borderId="0" xfId="0" applyFont="true" applyBorder="false" applyAlignment="true" applyProtection="false">
      <alignment horizontal="general" vertical="top" textRotation="0" wrapText="false" indent="0" shrinkToFit="false"/>
      <protection locked="true" hidden="false"/>
    </xf>
    <xf numFmtId="164" fontId="13" fillId="0" borderId="0" xfId="0" applyFont="true" applyBorder="false" applyAlignment="true" applyProtection="false">
      <alignment horizontal="general" vertical="top"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7">
    <dxf>
      <fill>
        <patternFill patternType="solid">
          <fgColor rgb="FF1B2340"/>
          <bgColor rgb="FF000000"/>
        </patternFill>
      </fill>
    </dxf>
    <dxf>
      <fill>
        <patternFill patternType="solid">
          <fgColor rgb="FFFCF6FB"/>
          <bgColor rgb="FF000000"/>
        </patternFill>
      </fill>
    </dxf>
    <dxf>
      <fill>
        <patternFill patternType="solid">
          <bgColor rgb="FF000000"/>
        </patternFill>
      </fill>
    </dxf>
    <dxf>
      <fill>
        <patternFill patternType="solid">
          <fgColor rgb="FFC0208A"/>
          <bgColor rgb="FF000000"/>
        </patternFill>
      </fill>
    </dxf>
    <dxf>
      <fill>
        <patternFill patternType="solid">
          <fgColor rgb="FFFFFFFF"/>
          <bgColor rgb="FF000000"/>
        </patternFill>
      </fill>
    </dxf>
    <dxf>
      <fill>
        <patternFill patternType="solid">
          <fgColor rgb="FF7B7689"/>
          <bgColor rgb="FF000000"/>
        </patternFill>
      </fill>
    </dxf>
    <dxf>
      <fill>
        <patternFill patternType="solid">
          <fgColor rgb="FF6E2A8C"/>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7B7689"/>
      <rgbColor rgb="FF9999FF"/>
      <rgbColor rgb="FF6E2A8C"/>
      <rgbColor rgb="FFFCF6FB"/>
      <rgbColor rgb="FFCCFFFF"/>
      <rgbColor rgb="FF660066"/>
      <rgbColor rgb="FFFF8080"/>
      <rgbColor rgb="FF0066CC"/>
      <rgbColor rgb="FFECE0ED"/>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C0208A"/>
      <rgbColor rgb="FF333399"/>
      <rgbColor rgb="FF1B2340"/>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7"/>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2" min="2" style="0" width="110"/>
  </cols>
  <sheetData>
    <row r="1" customFormat="false" ht="52.95" hidden="false" customHeight="false" outlineLevel="0" collapsed="false">
      <c r="A1" s="1" t="s">
        <v>0</v>
      </c>
      <c r="B1" s="2"/>
    </row>
    <row r="2" customFormat="false" ht="15" hidden="false" customHeight="false" outlineLevel="0" collapsed="false">
      <c r="A2" s="2" t="s">
        <v>1</v>
      </c>
      <c r="B2" s="2" t="s">
        <v>2</v>
      </c>
    </row>
    <row r="3" customFormat="false" ht="15" hidden="false" customHeight="false" outlineLevel="0" collapsed="false">
      <c r="A3" s="2" t="s">
        <v>3</v>
      </c>
      <c r="B3" s="2" t="s">
        <v>4</v>
      </c>
    </row>
    <row r="4" customFormat="false" ht="15" hidden="false" customHeight="false" outlineLevel="0" collapsed="false">
      <c r="A4" s="2"/>
      <c r="B4" s="2"/>
    </row>
    <row r="5" customFormat="false" ht="15" hidden="false" customHeight="false" outlineLevel="0" collapsed="false">
      <c r="A5" s="3" t="s">
        <v>5</v>
      </c>
      <c r="B5" s="3" t="s">
        <v>6</v>
      </c>
    </row>
    <row r="6" customFormat="false" ht="15" hidden="false" customHeight="false" outlineLevel="0" collapsed="false">
      <c r="A6" s="2" t="s">
        <v>7</v>
      </c>
      <c r="B6" s="2" t="s">
        <v>8</v>
      </c>
    </row>
    <row r="7" customFormat="false" ht="15" hidden="false" customHeight="false" outlineLevel="0" collapsed="false">
      <c r="A7" s="2" t="s">
        <v>9</v>
      </c>
      <c r="B7" s="2" t="s">
        <v>10</v>
      </c>
    </row>
    <row r="8" customFormat="false" ht="15" hidden="false" customHeight="false" outlineLevel="0" collapsed="false">
      <c r="A8" s="2"/>
      <c r="B8" s="2"/>
    </row>
    <row r="9" customFormat="false" ht="15" hidden="false" customHeight="false" outlineLevel="0" collapsed="false">
      <c r="A9" s="3" t="s">
        <v>11</v>
      </c>
      <c r="B9" s="3" t="s">
        <v>12</v>
      </c>
    </row>
    <row r="10" customFormat="false" ht="15" hidden="false" customHeight="false" outlineLevel="0" collapsed="false">
      <c r="A10" s="2" t="s">
        <v>13</v>
      </c>
      <c r="B10" s="2" t="s">
        <v>14</v>
      </c>
    </row>
    <row r="11" customFormat="false" ht="15" hidden="false" customHeight="false" outlineLevel="0" collapsed="false">
      <c r="A11" s="2" t="s">
        <v>15</v>
      </c>
      <c r="B11" s="2" t="s">
        <v>16</v>
      </c>
    </row>
    <row r="12" customFormat="false" ht="15" hidden="false" customHeight="false" outlineLevel="0" collapsed="false">
      <c r="A12" s="2" t="s">
        <v>17</v>
      </c>
      <c r="B12" s="2" t="s">
        <v>18</v>
      </c>
    </row>
    <row r="13" customFormat="false" ht="15" hidden="false" customHeight="false" outlineLevel="0" collapsed="false">
      <c r="A13" s="2" t="s">
        <v>19</v>
      </c>
      <c r="B13" s="2" t="s">
        <v>20</v>
      </c>
    </row>
    <row r="14" customFormat="false" ht="15" hidden="false" customHeight="false" outlineLevel="0" collapsed="false">
      <c r="A14" s="2" t="s">
        <v>21</v>
      </c>
      <c r="B14" s="2" t="s">
        <v>22</v>
      </c>
    </row>
    <row r="15" customFormat="false" ht="15" hidden="false" customHeight="false" outlineLevel="0" collapsed="false">
      <c r="A15" s="2"/>
      <c r="B15" s="2"/>
    </row>
    <row r="16" customFormat="false" ht="15" hidden="false" customHeight="false" outlineLevel="0" collapsed="false">
      <c r="A16" s="2" t="s">
        <v>23</v>
      </c>
      <c r="B16" s="2" t="s">
        <v>24</v>
      </c>
    </row>
    <row r="17" customFormat="false" ht="15" hidden="false" customHeight="false" outlineLevel="0" collapsed="false">
      <c r="A17" s="2" t="s">
        <v>25</v>
      </c>
      <c r="B17" s="2" t="s">
        <v>26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7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42"/>
    <col collapsed="false" customWidth="true" hidden="false" outlineLevel="0" max="3" min="3" style="0" width="26"/>
    <col collapsed="false" customWidth="true" hidden="false" outlineLevel="0" max="4" min="4" style="0" width="12"/>
    <col collapsed="false" customWidth="true" hidden="false" outlineLevel="0" max="5" min="5" style="0" width="9"/>
    <col collapsed="false" customWidth="true" hidden="false" outlineLevel="0" max="6" min="6" style="0" width="46"/>
    <col collapsed="false" customWidth="true" hidden="false" outlineLevel="0" max="9" min="7" style="0" width="70"/>
    <col collapsed="false" customWidth="true" hidden="false" outlineLevel="0" max="10" min="10" style="0" width="52"/>
    <col collapsed="false" customWidth="true" hidden="false" outlineLevel="0" max="11" min="11" style="0" width="12"/>
    <col collapsed="false" customWidth="true" hidden="false" outlineLevel="0" max="12" min="12" style="0" width="10"/>
    <col collapsed="false" customWidth="true" hidden="false" outlineLevel="0" max="13" min="13" style="0" width="14"/>
    <col collapsed="false" customWidth="true" hidden="false" outlineLevel="0" max="14" min="14" style="0" width="26"/>
    <col collapsed="false" customWidth="true" hidden="false" outlineLevel="0" max="15" min="15" style="0" width="18"/>
    <col collapsed="false" customWidth="true" hidden="false" outlineLevel="0" max="16" min="16" style="0" width="30"/>
  </cols>
  <sheetData>
    <row r="1" customFormat="false" ht="31.5" hidden="false" customHeight="true" outlineLevel="0" collapsed="false">
      <c r="A1" s="4" t="s">
        <v>27</v>
      </c>
      <c r="B1" s="4" t="s">
        <v>28</v>
      </c>
      <c r="C1" s="4" t="s">
        <v>29</v>
      </c>
      <c r="D1" s="4" t="s">
        <v>30</v>
      </c>
      <c r="E1" s="4" t="s">
        <v>13</v>
      </c>
      <c r="F1" s="4" t="s">
        <v>31</v>
      </c>
      <c r="G1" s="4" t="s">
        <v>32</v>
      </c>
      <c r="H1" s="4" t="s">
        <v>33</v>
      </c>
      <c r="I1" s="4" t="s">
        <v>34</v>
      </c>
      <c r="J1" s="4" t="s">
        <v>35</v>
      </c>
      <c r="K1" s="4" t="s">
        <v>17</v>
      </c>
      <c r="L1" s="4" t="s">
        <v>19</v>
      </c>
      <c r="M1" s="4" t="s">
        <v>21</v>
      </c>
      <c r="N1" s="4" t="s">
        <v>36</v>
      </c>
      <c r="O1" s="4" t="s">
        <v>37</v>
      </c>
      <c r="P1" s="4" t="s">
        <v>38</v>
      </c>
    </row>
    <row r="2" customFormat="false" ht="96" hidden="false" customHeight="true" outlineLevel="0" collapsed="false">
      <c r="A2" s="5" t="s">
        <v>39</v>
      </c>
      <c r="B2" s="6" t="s">
        <v>40</v>
      </c>
      <c r="C2" s="7" t="s">
        <v>41</v>
      </c>
      <c r="D2" s="7" t="s">
        <v>42</v>
      </c>
      <c r="E2" s="8" t="n">
        <v>16</v>
      </c>
      <c r="F2" s="7" t="s">
        <v>43</v>
      </c>
      <c r="G2" s="7" t="s">
        <v>44</v>
      </c>
      <c r="H2" s="7" t="s">
        <v>45</v>
      </c>
      <c r="I2" s="7" t="s">
        <v>46</v>
      </c>
      <c r="J2" s="7" t="s">
        <v>47</v>
      </c>
      <c r="K2" s="9" t="n">
        <v>19999</v>
      </c>
      <c r="L2" s="10" t="n">
        <f aca="false">1-M2/K2</f>
        <v>0.750037501875094</v>
      </c>
      <c r="M2" s="11" t="n">
        <v>4999</v>
      </c>
      <c r="N2" s="7" t="s">
        <v>48</v>
      </c>
      <c r="O2" s="7" t="s">
        <v>49</v>
      </c>
      <c r="P2" s="7" t="s">
        <v>50</v>
      </c>
    </row>
    <row r="3" customFormat="false" ht="96" hidden="false" customHeight="true" outlineLevel="0" collapsed="false">
      <c r="A3" s="12" t="s">
        <v>51</v>
      </c>
      <c r="B3" s="13" t="s">
        <v>52</v>
      </c>
      <c r="C3" s="14" t="s">
        <v>41</v>
      </c>
      <c r="D3" s="14" t="s">
        <v>42</v>
      </c>
      <c r="E3" s="15" t="n">
        <v>12</v>
      </c>
      <c r="F3" s="14" t="s">
        <v>53</v>
      </c>
      <c r="G3" s="14" t="s">
        <v>54</v>
      </c>
      <c r="H3" s="14" t="s">
        <v>55</v>
      </c>
      <c r="I3" s="14" t="s">
        <v>56</v>
      </c>
      <c r="J3" s="14" t="s">
        <v>57</v>
      </c>
      <c r="K3" s="16" t="n">
        <v>19999</v>
      </c>
      <c r="L3" s="17" t="n">
        <f aca="false">1-M3/K3</f>
        <v>0.750037501875094</v>
      </c>
      <c r="M3" s="18" t="n">
        <v>4999</v>
      </c>
      <c r="N3" s="14" t="s">
        <v>48</v>
      </c>
      <c r="O3" s="14" t="s">
        <v>49</v>
      </c>
      <c r="P3" s="14" t="s">
        <v>50</v>
      </c>
    </row>
    <row r="4" customFormat="false" ht="96" hidden="false" customHeight="true" outlineLevel="0" collapsed="false">
      <c r="A4" s="5" t="s">
        <v>58</v>
      </c>
      <c r="B4" s="6" t="s">
        <v>59</v>
      </c>
      <c r="C4" s="7" t="s">
        <v>41</v>
      </c>
      <c r="D4" s="7" t="s">
        <v>42</v>
      </c>
      <c r="E4" s="8" t="n">
        <v>16</v>
      </c>
      <c r="F4" s="7" t="s">
        <v>60</v>
      </c>
      <c r="G4" s="7" t="s">
        <v>61</v>
      </c>
      <c r="H4" s="7" t="s">
        <v>62</v>
      </c>
      <c r="I4" s="7" t="s">
        <v>63</v>
      </c>
      <c r="J4" s="7" t="s">
        <v>64</v>
      </c>
      <c r="K4" s="9" t="n">
        <v>19999</v>
      </c>
      <c r="L4" s="10" t="n">
        <f aca="false">1-M4/K4</f>
        <v>0.750037501875094</v>
      </c>
      <c r="M4" s="11" t="n">
        <v>4999</v>
      </c>
      <c r="N4" s="7" t="s">
        <v>48</v>
      </c>
      <c r="O4" s="7" t="s">
        <v>49</v>
      </c>
      <c r="P4" s="7" t="s">
        <v>50</v>
      </c>
    </row>
    <row r="5" customFormat="false" ht="96" hidden="false" customHeight="true" outlineLevel="0" collapsed="false">
      <c r="A5" s="12" t="s">
        <v>65</v>
      </c>
      <c r="B5" s="13" t="s">
        <v>66</v>
      </c>
      <c r="C5" s="14" t="s">
        <v>41</v>
      </c>
      <c r="D5" s="14" t="s">
        <v>67</v>
      </c>
      <c r="E5" s="15" t="n">
        <v>6</v>
      </c>
      <c r="F5" s="14" t="s">
        <v>68</v>
      </c>
      <c r="G5" s="14" t="s">
        <v>69</v>
      </c>
      <c r="H5" s="14" t="s">
        <v>70</v>
      </c>
      <c r="I5" s="14" t="s">
        <v>71</v>
      </c>
      <c r="J5" s="14" t="s">
        <v>72</v>
      </c>
      <c r="K5" s="16" t="n">
        <v>9999</v>
      </c>
      <c r="L5" s="17" t="n">
        <f aca="false">1-M5/K5</f>
        <v>0.7000700070007</v>
      </c>
      <c r="M5" s="18" t="n">
        <v>2999</v>
      </c>
      <c r="N5" s="14" t="s">
        <v>48</v>
      </c>
      <c r="O5" s="14" t="s">
        <v>49</v>
      </c>
      <c r="P5" s="14" t="s">
        <v>50</v>
      </c>
    </row>
    <row r="6" customFormat="false" ht="96" hidden="false" customHeight="true" outlineLevel="0" collapsed="false">
      <c r="A6" s="5" t="s">
        <v>73</v>
      </c>
      <c r="B6" s="6" t="s">
        <v>74</v>
      </c>
      <c r="C6" s="7" t="s">
        <v>41</v>
      </c>
      <c r="D6" s="7" t="s">
        <v>42</v>
      </c>
      <c r="E6" s="8" t="n">
        <v>12</v>
      </c>
      <c r="F6" s="7" t="s">
        <v>75</v>
      </c>
      <c r="G6" s="7" t="s">
        <v>76</v>
      </c>
      <c r="H6" s="7" t="s">
        <v>77</v>
      </c>
      <c r="I6" s="7" t="s">
        <v>78</v>
      </c>
      <c r="J6" s="7" t="s">
        <v>79</v>
      </c>
      <c r="K6" s="9" t="n">
        <v>19999</v>
      </c>
      <c r="L6" s="10" t="n">
        <f aca="false">1-M6/K6</f>
        <v>0.750037501875094</v>
      </c>
      <c r="M6" s="11" t="n">
        <v>4999</v>
      </c>
      <c r="N6" s="7" t="s">
        <v>48</v>
      </c>
      <c r="O6" s="7" t="s">
        <v>49</v>
      </c>
      <c r="P6" s="7" t="s">
        <v>50</v>
      </c>
    </row>
    <row r="7" customFormat="false" ht="96" hidden="false" customHeight="true" outlineLevel="0" collapsed="false">
      <c r="A7" s="12" t="s">
        <v>80</v>
      </c>
      <c r="B7" s="13" t="s">
        <v>81</v>
      </c>
      <c r="C7" s="14" t="s">
        <v>82</v>
      </c>
      <c r="D7" s="14" t="s">
        <v>42</v>
      </c>
      <c r="E7" s="15" t="n">
        <v>12</v>
      </c>
      <c r="F7" s="14" t="s">
        <v>83</v>
      </c>
      <c r="G7" s="14" t="s">
        <v>84</v>
      </c>
      <c r="H7" s="14" t="s">
        <v>85</v>
      </c>
      <c r="I7" s="14" t="s">
        <v>86</v>
      </c>
      <c r="J7" s="14" t="s">
        <v>87</v>
      </c>
      <c r="K7" s="16" t="n">
        <v>19999</v>
      </c>
      <c r="L7" s="17" t="n">
        <f aca="false">1-M7/K7</f>
        <v>0.750037501875094</v>
      </c>
      <c r="M7" s="18" t="n">
        <v>4999</v>
      </c>
      <c r="N7" s="14" t="s">
        <v>48</v>
      </c>
      <c r="O7" s="14" t="s">
        <v>49</v>
      </c>
      <c r="P7" s="14" t="s">
        <v>50</v>
      </c>
    </row>
    <row r="8" customFormat="false" ht="96" hidden="false" customHeight="true" outlineLevel="0" collapsed="false">
      <c r="A8" s="5" t="s">
        <v>88</v>
      </c>
      <c r="B8" s="6" t="s">
        <v>89</v>
      </c>
      <c r="C8" s="7" t="s">
        <v>82</v>
      </c>
      <c r="D8" s="7" t="s">
        <v>42</v>
      </c>
      <c r="E8" s="8" t="n">
        <v>12</v>
      </c>
      <c r="F8" s="7" t="s">
        <v>90</v>
      </c>
      <c r="G8" s="7" t="s">
        <v>91</v>
      </c>
      <c r="H8" s="7" t="s">
        <v>92</v>
      </c>
      <c r="I8" s="7" t="s">
        <v>93</v>
      </c>
      <c r="J8" s="7" t="s">
        <v>94</v>
      </c>
      <c r="K8" s="9" t="n">
        <v>19999</v>
      </c>
      <c r="L8" s="10" t="n">
        <f aca="false">1-M8/K8</f>
        <v>0.750037501875094</v>
      </c>
      <c r="M8" s="11" t="n">
        <v>4999</v>
      </c>
      <c r="N8" s="7" t="s">
        <v>48</v>
      </c>
      <c r="O8" s="7" t="s">
        <v>49</v>
      </c>
      <c r="P8" s="7" t="s">
        <v>50</v>
      </c>
    </row>
    <row r="9" customFormat="false" ht="96" hidden="false" customHeight="true" outlineLevel="0" collapsed="false">
      <c r="A9" s="12" t="s">
        <v>95</v>
      </c>
      <c r="B9" s="13" t="s">
        <v>96</v>
      </c>
      <c r="C9" s="14" t="s">
        <v>82</v>
      </c>
      <c r="D9" s="14" t="s">
        <v>42</v>
      </c>
      <c r="E9" s="15" t="n">
        <v>16</v>
      </c>
      <c r="F9" s="14" t="s">
        <v>97</v>
      </c>
      <c r="G9" s="14" t="s">
        <v>98</v>
      </c>
      <c r="H9" s="14" t="s">
        <v>99</v>
      </c>
      <c r="I9" s="14" t="s">
        <v>100</v>
      </c>
      <c r="J9" s="14" t="s">
        <v>101</v>
      </c>
      <c r="K9" s="16" t="n">
        <v>19999</v>
      </c>
      <c r="L9" s="17" t="n">
        <f aca="false">1-M9/K9</f>
        <v>0.750037501875094</v>
      </c>
      <c r="M9" s="18" t="n">
        <v>4999</v>
      </c>
      <c r="N9" s="14" t="s">
        <v>48</v>
      </c>
      <c r="O9" s="14" t="s">
        <v>49</v>
      </c>
      <c r="P9" s="14" t="s">
        <v>50</v>
      </c>
    </row>
    <row r="10" customFormat="false" ht="96" hidden="false" customHeight="true" outlineLevel="0" collapsed="false">
      <c r="A10" s="5" t="s">
        <v>102</v>
      </c>
      <c r="B10" s="6" t="s">
        <v>103</v>
      </c>
      <c r="C10" s="7" t="s">
        <v>82</v>
      </c>
      <c r="D10" s="7" t="s">
        <v>42</v>
      </c>
      <c r="E10" s="8" t="n">
        <v>6</v>
      </c>
      <c r="F10" s="7" t="s">
        <v>104</v>
      </c>
      <c r="G10" s="7" t="s">
        <v>105</v>
      </c>
      <c r="H10" s="7" t="s">
        <v>106</v>
      </c>
      <c r="I10" s="7" t="s">
        <v>107</v>
      </c>
      <c r="J10" s="7" t="s">
        <v>108</v>
      </c>
      <c r="K10" s="9" t="n">
        <v>9999</v>
      </c>
      <c r="L10" s="10" t="n">
        <f aca="false">1-M10/K10</f>
        <v>0.7000700070007</v>
      </c>
      <c r="M10" s="11" t="n">
        <v>2999</v>
      </c>
      <c r="N10" s="7" t="s">
        <v>48</v>
      </c>
      <c r="O10" s="7" t="s">
        <v>49</v>
      </c>
      <c r="P10" s="7" t="s">
        <v>50</v>
      </c>
    </row>
    <row r="11" customFormat="false" ht="96" hidden="false" customHeight="true" outlineLevel="0" collapsed="false">
      <c r="A11" s="12" t="s">
        <v>109</v>
      </c>
      <c r="B11" s="13" t="s">
        <v>110</v>
      </c>
      <c r="C11" s="14" t="s">
        <v>82</v>
      </c>
      <c r="D11" s="14" t="s">
        <v>42</v>
      </c>
      <c r="E11" s="15" t="n">
        <v>12</v>
      </c>
      <c r="F11" s="14" t="s">
        <v>111</v>
      </c>
      <c r="G11" s="14" t="s">
        <v>112</v>
      </c>
      <c r="H11" s="14" t="s">
        <v>113</v>
      </c>
      <c r="I11" s="14" t="s">
        <v>114</v>
      </c>
      <c r="J11" s="14" t="s">
        <v>115</v>
      </c>
      <c r="K11" s="16" t="n">
        <v>19999</v>
      </c>
      <c r="L11" s="17" t="n">
        <f aca="false">1-M11/K11</f>
        <v>0.750037501875094</v>
      </c>
      <c r="M11" s="18" t="n">
        <v>4999</v>
      </c>
      <c r="N11" s="14" t="s">
        <v>48</v>
      </c>
      <c r="O11" s="14" t="s">
        <v>49</v>
      </c>
      <c r="P11" s="14" t="s">
        <v>50</v>
      </c>
    </row>
    <row r="12" customFormat="false" ht="96" hidden="false" customHeight="true" outlineLevel="0" collapsed="false">
      <c r="A12" s="5" t="s">
        <v>116</v>
      </c>
      <c r="B12" s="6" t="s">
        <v>117</v>
      </c>
      <c r="C12" s="7" t="s">
        <v>82</v>
      </c>
      <c r="D12" s="7" t="s">
        <v>42</v>
      </c>
      <c r="E12" s="8" t="n">
        <v>6</v>
      </c>
      <c r="F12" s="7" t="s">
        <v>118</v>
      </c>
      <c r="G12" s="7" t="s">
        <v>119</v>
      </c>
      <c r="H12" s="7" t="s">
        <v>120</v>
      </c>
      <c r="I12" s="7" t="s">
        <v>121</v>
      </c>
      <c r="J12" s="7" t="s">
        <v>122</v>
      </c>
      <c r="K12" s="9" t="n">
        <v>9999</v>
      </c>
      <c r="L12" s="10" t="n">
        <f aca="false">1-M12/K12</f>
        <v>0.7000700070007</v>
      </c>
      <c r="M12" s="11" t="n">
        <v>2999</v>
      </c>
      <c r="N12" s="7" t="s">
        <v>48</v>
      </c>
      <c r="O12" s="7" t="s">
        <v>49</v>
      </c>
      <c r="P12" s="7" t="s">
        <v>50</v>
      </c>
    </row>
    <row r="13" customFormat="false" ht="96" hidden="false" customHeight="true" outlineLevel="0" collapsed="false">
      <c r="A13" s="12" t="s">
        <v>123</v>
      </c>
      <c r="B13" s="13" t="s">
        <v>124</v>
      </c>
      <c r="C13" s="14" t="s">
        <v>82</v>
      </c>
      <c r="D13" s="14" t="s">
        <v>42</v>
      </c>
      <c r="E13" s="15" t="n">
        <v>12</v>
      </c>
      <c r="F13" s="14" t="s">
        <v>125</v>
      </c>
      <c r="G13" s="14" t="s">
        <v>126</v>
      </c>
      <c r="H13" s="14" t="s">
        <v>127</v>
      </c>
      <c r="I13" s="14" t="s">
        <v>128</v>
      </c>
      <c r="J13" s="14" t="s">
        <v>129</v>
      </c>
      <c r="K13" s="16" t="n">
        <v>19999</v>
      </c>
      <c r="L13" s="17" t="n">
        <f aca="false">1-M13/K13</f>
        <v>0.750037501875094</v>
      </c>
      <c r="M13" s="18" t="n">
        <v>4999</v>
      </c>
      <c r="N13" s="14" t="s">
        <v>48</v>
      </c>
      <c r="O13" s="14" t="s">
        <v>49</v>
      </c>
      <c r="P13" s="14" t="s">
        <v>50</v>
      </c>
    </row>
    <row r="14" customFormat="false" ht="96" hidden="false" customHeight="true" outlineLevel="0" collapsed="false">
      <c r="A14" s="5" t="s">
        <v>130</v>
      </c>
      <c r="B14" s="6" t="s">
        <v>131</v>
      </c>
      <c r="C14" s="7" t="s">
        <v>82</v>
      </c>
      <c r="D14" s="7" t="s">
        <v>42</v>
      </c>
      <c r="E14" s="8" t="n">
        <v>6</v>
      </c>
      <c r="F14" s="7" t="s">
        <v>132</v>
      </c>
      <c r="G14" s="7" t="s">
        <v>133</v>
      </c>
      <c r="H14" s="7" t="s">
        <v>134</v>
      </c>
      <c r="I14" s="7" t="s">
        <v>135</v>
      </c>
      <c r="J14" s="7" t="s">
        <v>136</v>
      </c>
      <c r="K14" s="9" t="n">
        <v>9999</v>
      </c>
      <c r="L14" s="10" t="n">
        <f aca="false">1-M14/K14</f>
        <v>0.7000700070007</v>
      </c>
      <c r="M14" s="11" t="n">
        <v>2999</v>
      </c>
      <c r="N14" s="7" t="s">
        <v>48</v>
      </c>
      <c r="O14" s="7" t="s">
        <v>49</v>
      </c>
      <c r="P14" s="7" t="s">
        <v>50</v>
      </c>
    </row>
    <row r="15" customFormat="false" ht="96" hidden="false" customHeight="true" outlineLevel="0" collapsed="false">
      <c r="A15" s="12" t="s">
        <v>137</v>
      </c>
      <c r="B15" s="13" t="s">
        <v>138</v>
      </c>
      <c r="C15" s="14" t="s">
        <v>82</v>
      </c>
      <c r="D15" s="14" t="s">
        <v>42</v>
      </c>
      <c r="E15" s="15" t="n">
        <v>6</v>
      </c>
      <c r="F15" s="14" t="s">
        <v>139</v>
      </c>
      <c r="G15" s="14" t="s">
        <v>140</v>
      </c>
      <c r="H15" s="14" t="s">
        <v>141</v>
      </c>
      <c r="I15" s="14" t="s">
        <v>142</v>
      </c>
      <c r="J15" s="14" t="s">
        <v>143</v>
      </c>
      <c r="K15" s="16" t="n">
        <v>9999</v>
      </c>
      <c r="L15" s="17" t="n">
        <f aca="false">1-M15/K15</f>
        <v>0.7000700070007</v>
      </c>
      <c r="M15" s="18" t="n">
        <v>2999</v>
      </c>
      <c r="N15" s="14" t="s">
        <v>48</v>
      </c>
      <c r="O15" s="14" t="s">
        <v>49</v>
      </c>
      <c r="P15" s="14" t="s">
        <v>50</v>
      </c>
    </row>
    <row r="16" customFormat="false" ht="96" hidden="false" customHeight="true" outlineLevel="0" collapsed="false">
      <c r="A16" s="5" t="s">
        <v>144</v>
      </c>
      <c r="B16" s="6" t="s">
        <v>145</v>
      </c>
      <c r="C16" s="7" t="s">
        <v>82</v>
      </c>
      <c r="D16" s="7" t="s">
        <v>42</v>
      </c>
      <c r="E16" s="8" t="n">
        <v>6</v>
      </c>
      <c r="F16" s="7" t="s">
        <v>146</v>
      </c>
      <c r="G16" s="7" t="s">
        <v>147</v>
      </c>
      <c r="H16" s="7" t="s">
        <v>148</v>
      </c>
      <c r="I16" s="7" t="s">
        <v>149</v>
      </c>
      <c r="J16" s="7" t="s">
        <v>150</v>
      </c>
      <c r="K16" s="9" t="n">
        <v>9999</v>
      </c>
      <c r="L16" s="10" t="n">
        <f aca="false">1-M16/K16</f>
        <v>0.7000700070007</v>
      </c>
      <c r="M16" s="11" t="n">
        <v>2999</v>
      </c>
      <c r="N16" s="7" t="s">
        <v>48</v>
      </c>
      <c r="O16" s="7" t="s">
        <v>49</v>
      </c>
      <c r="P16" s="7" t="s">
        <v>50</v>
      </c>
    </row>
    <row r="17" customFormat="false" ht="96" hidden="false" customHeight="true" outlineLevel="0" collapsed="false">
      <c r="A17" s="12" t="s">
        <v>151</v>
      </c>
      <c r="B17" s="13" t="s">
        <v>152</v>
      </c>
      <c r="C17" s="14" t="s">
        <v>82</v>
      </c>
      <c r="D17" s="14" t="s">
        <v>42</v>
      </c>
      <c r="E17" s="15" t="n">
        <v>3</v>
      </c>
      <c r="F17" s="14" t="s">
        <v>153</v>
      </c>
      <c r="G17" s="14" t="s">
        <v>154</v>
      </c>
      <c r="H17" s="14" t="s">
        <v>155</v>
      </c>
      <c r="I17" s="14" t="s">
        <v>156</v>
      </c>
      <c r="J17" s="14" t="s">
        <v>157</v>
      </c>
      <c r="K17" s="16" t="n">
        <v>4999</v>
      </c>
      <c r="L17" s="17" t="n">
        <f aca="false">1-M17/K17</f>
        <v>0.700140028005601</v>
      </c>
      <c r="M17" s="18" t="n">
        <v>1499</v>
      </c>
      <c r="N17" s="14" t="s">
        <v>48</v>
      </c>
      <c r="O17" s="14" t="s">
        <v>49</v>
      </c>
      <c r="P17" s="14" t="s">
        <v>50</v>
      </c>
    </row>
    <row r="18" customFormat="false" ht="96" hidden="false" customHeight="true" outlineLevel="0" collapsed="false">
      <c r="A18" s="5" t="s">
        <v>158</v>
      </c>
      <c r="B18" s="6" t="s">
        <v>159</v>
      </c>
      <c r="C18" s="7" t="s">
        <v>82</v>
      </c>
      <c r="D18" s="7" t="s">
        <v>67</v>
      </c>
      <c r="E18" s="8" t="n">
        <v>3</v>
      </c>
      <c r="F18" s="7" t="s">
        <v>160</v>
      </c>
      <c r="G18" s="7" t="s">
        <v>161</v>
      </c>
      <c r="H18" s="7" t="s">
        <v>162</v>
      </c>
      <c r="I18" s="7" t="s">
        <v>163</v>
      </c>
      <c r="J18" s="7" t="s">
        <v>164</v>
      </c>
      <c r="K18" s="9" t="n">
        <v>4999</v>
      </c>
      <c r="L18" s="10" t="n">
        <f aca="false">1-M18/K18</f>
        <v>0.700140028005601</v>
      </c>
      <c r="M18" s="11" t="n">
        <v>1499</v>
      </c>
      <c r="N18" s="7" t="s">
        <v>48</v>
      </c>
      <c r="O18" s="7" t="s">
        <v>49</v>
      </c>
      <c r="P18" s="7" t="s">
        <v>50</v>
      </c>
    </row>
    <row r="19" customFormat="false" ht="96" hidden="false" customHeight="true" outlineLevel="0" collapsed="false">
      <c r="A19" s="12" t="s">
        <v>165</v>
      </c>
      <c r="B19" s="13" t="s">
        <v>166</v>
      </c>
      <c r="C19" s="14" t="s">
        <v>167</v>
      </c>
      <c r="D19" s="14" t="s">
        <v>42</v>
      </c>
      <c r="E19" s="15" t="n">
        <v>6</v>
      </c>
      <c r="F19" s="14" t="s">
        <v>168</v>
      </c>
      <c r="G19" s="14" t="s">
        <v>169</v>
      </c>
      <c r="H19" s="14" t="s">
        <v>170</v>
      </c>
      <c r="I19" s="14" t="s">
        <v>171</v>
      </c>
      <c r="J19" s="14" t="s">
        <v>172</v>
      </c>
      <c r="K19" s="16" t="n">
        <v>9999</v>
      </c>
      <c r="L19" s="17" t="n">
        <f aca="false">1-M19/K19</f>
        <v>0.7000700070007</v>
      </c>
      <c r="M19" s="18" t="n">
        <v>2999</v>
      </c>
      <c r="N19" s="14" t="s">
        <v>48</v>
      </c>
      <c r="O19" s="14" t="s">
        <v>49</v>
      </c>
      <c r="P19" s="14" t="s">
        <v>50</v>
      </c>
    </row>
    <row r="20" customFormat="false" ht="96" hidden="false" customHeight="true" outlineLevel="0" collapsed="false">
      <c r="A20" s="5" t="s">
        <v>173</v>
      </c>
      <c r="B20" s="6" t="s">
        <v>174</v>
      </c>
      <c r="C20" s="7" t="s">
        <v>167</v>
      </c>
      <c r="D20" s="7" t="s">
        <v>42</v>
      </c>
      <c r="E20" s="8" t="n">
        <v>6</v>
      </c>
      <c r="F20" s="7" t="s">
        <v>175</v>
      </c>
      <c r="G20" s="7" t="s">
        <v>176</v>
      </c>
      <c r="H20" s="7" t="s">
        <v>177</v>
      </c>
      <c r="I20" s="7" t="s">
        <v>178</v>
      </c>
      <c r="J20" s="7" t="s">
        <v>179</v>
      </c>
      <c r="K20" s="9" t="n">
        <v>9999</v>
      </c>
      <c r="L20" s="10" t="n">
        <f aca="false">1-M20/K20</f>
        <v>0.7000700070007</v>
      </c>
      <c r="M20" s="11" t="n">
        <v>2999</v>
      </c>
      <c r="N20" s="7" t="s">
        <v>48</v>
      </c>
      <c r="O20" s="7" t="s">
        <v>49</v>
      </c>
      <c r="P20" s="7" t="s">
        <v>50</v>
      </c>
    </row>
    <row r="21" customFormat="false" ht="96" hidden="false" customHeight="true" outlineLevel="0" collapsed="false">
      <c r="A21" s="12" t="s">
        <v>180</v>
      </c>
      <c r="B21" s="13" t="s">
        <v>181</v>
      </c>
      <c r="C21" s="14" t="s">
        <v>167</v>
      </c>
      <c r="D21" s="14" t="s">
        <v>67</v>
      </c>
      <c r="E21" s="15" t="n">
        <v>3</v>
      </c>
      <c r="F21" s="14" t="s">
        <v>182</v>
      </c>
      <c r="G21" s="14" t="s">
        <v>183</v>
      </c>
      <c r="H21" s="14" t="s">
        <v>184</v>
      </c>
      <c r="I21" s="14" t="s">
        <v>185</v>
      </c>
      <c r="J21" s="14" t="s">
        <v>186</v>
      </c>
      <c r="K21" s="16" t="n">
        <v>4999</v>
      </c>
      <c r="L21" s="17" t="n">
        <f aca="false">1-M21/K21</f>
        <v>0.700140028005601</v>
      </c>
      <c r="M21" s="18" t="n">
        <v>1499</v>
      </c>
      <c r="N21" s="14" t="s">
        <v>48</v>
      </c>
      <c r="O21" s="14" t="s">
        <v>49</v>
      </c>
      <c r="P21" s="14" t="s">
        <v>50</v>
      </c>
    </row>
    <row r="22" customFormat="false" ht="96" hidden="false" customHeight="true" outlineLevel="0" collapsed="false">
      <c r="A22" s="5" t="s">
        <v>187</v>
      </c>
      <c r="B22" s="6" t="s">
        <v>188</v>
      </c>
      <c r="C22" s="7" t="s">
        <v>167</v>
      </c>
      <c r="D22" s="7" t="s">
        <v>67</v>
      </c>
      <c r="E22" s="8" t="n">
        <v>6</v>
      </c>
      <c r="F22" s="7" t="s">
        <v>189</v>
      </c>
      <c r="G22" s="7" t="s">
        <v>190</v>
      </c>
      <c r="H22" s="7" t="s">
        <v>191</v>
      </c>
      <c r="I22" s="7" t="s">
        <v>192</v>
      </c>
      <c r="J22" s="7" t="s">
        <v>193</v>
      </c>
      <c r="K22" s="9" t="n">
        <v>9999</v>
      </c>
      <c r="L22" s="10" t="n">
        <f aca="false">1-M22/K22</f>
        <v>0.7000700070007</v>
      </c>
      <c r="M22" s="11" t="n">
        <v>2999</v>
      </c>
      <c r="N22" s="7" t="s">
        <v>48</v>
      </c>
      <c r="O22" s="7" t="s">
        <v>49</v>
      </c>
      <c r="P22" s="7" t="s">
        <v>50</v>
      </c>
    </row>
    <row r="23" customFormat="false" ht="96" hidden="false" customHeight="true" outlineLevel="0" collapsed="false">
      <c r="A23" s="12" t="s">
        <v>194</v>
      </c>
      <c r="B23" s="13" t="s">
        <v>195</v>
      </c>
      <c r="C23" s="14" t="s">
        <v>167</v>
      </c>
      <c r="D23" s="14" t="s">
        <v>67</v>
      </c>
      <c r="E23" s="15" t="n">
        <v>6</v>
      </c>
      <c r="F23" s="14" t="s">
        <v>196</v>
      </c>
      <c r="G23" s="14" t="s">
        <v>197</v>
      </c>
      <c r="H23" s="14" t="s">
        <v>198</v>
      </c>
      <c r="I23" s="14" t="s">
        <v>199</v>
      </c>
      <c r="J23" s="14" t="s">
        <v>200</v>
      </c>
      <c r="K23" s="16" t="n">
        <v>9999</v>
      </c>
      <c r="L23" s="17" t="n">
        <f aca="false">1-M23/K23</f>
        <v>0.7000700070007</v>
      </c>
      <c r="M23" s="18" t="n">
        <v>2999</v>
      </c>
      <c r="N23" s="14" t="s">
        <v>48</v>
      </c>
      <c r="O23" s="14" t="s">
        <v>49</v>
      </c>
      <c r="P23" s="14" t="s">
        <v>50</v>
      </c>
    </row>
    <row r="24" customFormat="false" ht="96" hidden="false" customHeight="true" outlineLevel="0" collapsed="false">
      <c r="A24" s="5" t="s">
        <v>201</v>
      </c>
      <c r="B24" s="6" t="s">
        <v>202</v>
      </c>
      <c r="C24" s="7" t="s">
        <v>203</v>
      </c>
      <c r="D24" s="7" t="s">
        <v>42</v>
      </c>
      <c r="E24" s="8" t="n">
        <v>12</v>
      </c>
      <c r="F24" s="7" t="s">
        <v>204</v>
      </c>
      <c r="G24" s="7" t="s">
        <v>205</v>
      </c>
      <c r="H24" s="7" t="s">
        <v>206</v>
      </c>
      <c r="I24" s="7" t="s">
        <v>207</v>
      </c>
      <c r="J24" s="7" t="s">
        <v>208</v>
      </c>
      <c r="K24" s="9" t="n">
        <v>19999</v>
      </c>
      <c r="L24" s="10" t="n">
        <f aca="false">1-M24/K24</f>
        <v>0.750037501875094</v>
      </c>
      <c r="M24" s="11" t="n">
        <v>4999</v>
      </c>
      <c r="N24" s="7" t="s">
        <v>48</v>
      </c>
      <c r="O24" s="7" t="s">
        <v>49</v>
      </c>
      <c r="P24" s="7" t="s">
        <v>50</v>
      </c>
    </row>
    <row r="25" customFormat="false" ht="96" hidden="false" customHeight="true" outlineLevel="0" collapsed="false">
      <c r="A25" s="12" t="s">
        <v>209</v>
      </c>
      <c r="B25" s="13" t="s">
        <v>210</v>
      </c>
      <c r="C25" s="14" t="s">
        <v>203</v>
      </c>
      <c r="D25" s="14" t="s">
        <v>42</v>
      </c>
      <c r="E25" s="15" t="n">
        <v>3</v>
      </c>
      <c r="F25" s="14" t="s">
        <v>211</v>
      </c>
      <c r="G25" s="14" t="s">
        <v>212</v>
      </c>
      <c r="H25" s="14" t="s">
        <v>213</v>
      </c>
      <c r="I25" s="14" t="s">
        <v>214</v>
      </c>
      <c r="J25" s="14" t="s">
        <v>215</v>
      </c>
      <c r="K25" s="16" t="n">
        <v>4999</v>
      </c>
      <c r="L25" s="17" t="n">
        <f aca="false">1-M25/K25</f>
        <v>0.700140028005601</v>
      </c>
      <c r="M25" s="18" t="n">
        <v>1499</v>
      </c>
      <c r="N25" s="14" t="s">
        <v>48</v>
      </c>
      <c r="O25" s="14" t="s">
        <v>49</v>
      </c>
      <c r="P25" s="14" t="s">
        <v>50</v>
      </c>
    </row>
    <row r="26" customFormat="false" ht="96" hidden="false" customHeight="true" outlineLevel="0" collapsed="false">
      <c r="A26" s="5" t="s">
        <v>216</v>
      </c>
      <c r="B26" s="6" t="s">
        <v>217</v>
      </c>
      <c r="C26" s="7" t="s">
        <v>203</v>
      </c>
      <c r="D26" s="7" t="s">
        <v>67</v>
      </c>
      <c r="E26" s="8" t="n">
        <v>6</v>
      </c>
      <c r="F26" s="7" t="s">
        <v>218</v>
      </c>
      <c r="G26" s="7" t="s">
        <v>219</v>
      </c>
      <c r="H26" s="7" t="s">
        <v>220</v>
      </c>
      <c r="I26" s="7" t="s">
        <v>221</v>
      </c>
      <c r="J26" s="7" t="s">
        <v>222</v>
      </c>
      <c r="K26" s="9" t="n">
        <v>9999</v>
      </c>
      <c r="L26" s="10" t="n">
        <f aca="false">1-M26/K26</f>
        <v>0.7000700070007</v>
      </c>
      <c r="M26" s="11" t="n">
        <v>2999</v>
      </c>
      <c r="N26" s="7" t="s">
        <v>48</v>
      </c>
      <c r="O26" s="7" t="s">
        <v>49</v>
      </c>
      <c r="P26" s="7" t="s">
        <v>50</v>
      </c>
    </row>
    <row r="27" customFormat="false" ht="96" hidden="false" customHeight="true" outlineLevel="0" collapsed="false">
      <c r="A27" s="12" t="s">
        <v>223</v>
      </c>
      <c r="B27" s="13" t="s">
        <v>224</v>
      </c>
      <c r="C27" s="14" t="s">
        <v>203</v>
      </c>
      <c r="D27" s="14" t="s">
        <v>67</v>
      </c>
      <c r="E27" s="15" t="n">
        <v>6</v>
      </c>
      <c r="F27" s="14" t="s">
        <v>225</v>
      </c>
      <c r="G27" s="14" t="s">
        <v>226</v>
      </c>
      <c r="H27" s="14" t="s">
        <v>227</v>
      </c>
      <c r="I27" s="14" t="s">
        <v>228</v>
      </c>
      <c r="J27" s="14" t="s">
        <v>229</v>
      </c>
      <c r="K27" s="16" t="n">
        <v>9999</v>
      </c>
      <c r="L27" s="17" t="n">
        <f aca="false">1-M27/K27</f>
        <v>0.7000700070007</v>
      </c>
      <c r="M27" s="18" t="n">
        <v>2999</v>
      </c>
      <c r="N27" s="14" t="s">
        <v>48</v>
      </c>
      <c r="O27" s="14" t="s">
        <v>49</v>
      </c>
      <c r="P27" s="14" t="s">
        <v>50</v>
      </c>
    </row>
    <row r="28" customFormat="false" ht="96" hidden="false" customHeight="true" outlineLevel="0" collapsed="false">
      <c r="A28" s="5" t="s">
        <v>230</v>
      </c>
      <c r="B28" s="6" t="s">
        <v>231</v>
      </c>
      <c r="C28" s="7" t="s">
        <v>203</v>
      </c>
      <c r="D28" s="7" t="s">
        <v>67</v>
      </c>
      <c r="E28" s="8" t="n">
        <v>6</v>
      </c>
      <c r="F28" s="7" t="s">
        <v>232</v>
      </c>
      <c r="G28" s="7" t="s">
        <v>233</v>
      </c>
      <c r="H28" s="7" t="s">
        <v>234</v>
      </c>
      <c r="I28" s="7" t="s">
        <v>235</v>
      </c>
      <c r="J28" s="7" t="s">
        <v>236</v>
      </c>
      <c r="K28" s="9" t="n">
        <v>9999</v>
      </c>
      <c r="L28" s="10" t="n">
        <f aca="false">1-M28/K28</f>
        <v>0.7000700070007</v>
      </c>
      <c r="M28" s="11" t="n">
        <v>2999</v>
      </c>
      <c r="N28" s="7" t="s">
        <v>48</v>
      </c>
      <c r="O28" s="7" t="s">
        <v>49</v>
      </c>
      <c r="P28" s="7" t="s">
        <v>50</v>
      </c>
    </row>
    <row r="29" customFormat="false" ht="96" hidden="false" customHeight="true" outlineLevel="0" collapsed="false">
      <c r="A29" s="12" t="s">
        <v>237</v>
      </c>
      <c r="B29" s="13" t="s">
        <v>238</v>
      </c>
      <c r="C29" s="14" t="s">
        <v>203</v>
      </c>
      <c r="D29" s="14" t="s">
        <v>42</v>
      </c>
      <c r="E29" s="15" t="n">
        <v>6</v>
      </c>
      <c r="F29" s="14" t="s">
        <v>239</v>
      </c>
      <c r="G29" s="14" t="s">
        <v>240</v>
      </c>
      <c r="H29" s="14" t="s">
        <v>241</v>
      </c>
      <c r="I29" s="14" t="s">
        <v>242</v>
      </c>
      <c r="J29" s="14" t="s">
        <v>243</v>
      </c>
      <c r="K29" s="16" t="n">
        <v>9999</v>
      </c>
      <c r="L29" s="17" t="n">
        <f aca="false">1-M29/K29</f>
        <v>0.7000700070007</v>
      </c>
      <c r="M29" s="18" t="n">
        <v>2999</v>
      </c>
      <c r="N29" s="14" t="s">
        <v>48</v>
      </c>
      <c r="O29" s="14" t="s">
        <v>49</v>
      </c>
      <c r="P29" s="14" t="s">
        <v>50</v>
      </c>
    </row>
    <row r="30" customFormat="false" ht="96" hidden="false" customHeight="true" outlineLevel="0" collapsed="false">
      <c r="A30" s="5" t="s">
        <v>244</v>
      </c>
      <c r="B30" s="6" t="s">
        <v>245</v>
      </c>
      <c r="C30" s="7" t="s">
        <v>203</v>
      </c>
      <c r="D30" s="7" t="s">
        <v>67</v>
      </c>
      <c r="E30" s="8" t="n">
        <v>6</v>
      </c>
      <c r="F30" s="7" t="s">
        <v>246</v>
      </c>
      <c r="G30" s="7" t="s">
        <v>247</v>
      </c>
      <c r="H30" s="7" t="s">
        <v>248</v>
      </c>
      <c r="I30" s="7" t="s">
        <v>249</v>
      </c>
      <c r="J30" s="7" t="s">
        <v>250</v>
      </c>
      <c r="K30" s="9" t="n">
        <v>9999</v>
      </c>
      <c r="L30" s="10" t="n">
        <f aca="false">1-M30/K30</f>
        <v>0.7000700070007</v>
      </c>
      <c r="M30" s="11" t="n">
        <v>2999</v>
      </c>
      <c r="N30" s="7" t="s">
        <v>48</v>
      </c>
      <c r="O30" s="7" t="s">
        <v>49</v>
      </c>
      <c r="P30" s="7" t="s">
        <v>50</v>
      </c>
    </row>
    <row r="31" customFormat="false" ht="96" hidden="false" customHeight="true" outlineLevel="0" collapsed="false">
      <c r="A31" s="12" t="s">
        <v>251</v>
      </c>
      <c r="B31" s="13" t="s">
        <v>252</v>
      </c>
      <c r="C31" s="14" t="s">
        <v>253</v>
      </c>
      <c r="D31" s="14" t="s">
        <v>42</v>
      </c>
      <c r="E31" s="15" t="n">
        <v>6</v>
      </c>
      <c r="F31" s="14" t="s">
        <v>254</v>
      </c>
      <c r="G31" s="14" t="s">
        <v>255</v>
      </c>
      <c r="H31" s="14" t="s">
        <v>256</v>
      </c>
      <c r="I31" s="14" t="s">
        <v>257</v>
      </c>
      <c r="J31" s="14" t="s">
        <v>258</v>
      </c>
      <c r="K31" s="16" t="n">
        <v>9999</v>
      </c>
      <c r="L31" s="17" t="n">
        <f aca="false">1-M31/K31</f>
        <v>0.7000700070007</v>
      </c>
      <c r="M31" s="18" t="n">
        <v>2999</v>
      </c>
      <c r="N31" s="14" t="s">
        <v>48</v>
      </c>
      <c r="O31" s="14" t="s">
        <v>49</v>
      </c>
      <c r="P31" s="14" t="s">
        <v>50</v>
      </c>
    </row>
    <row r="32" customFormat="false" ht="96" hidden="false" customHeight="true" outlineLevel="0" collapsed="false">
      <c r="A32" s="5" t="s">
        <v>259</v>
      </c>
      <c r="B32" s="6" t="s">
        <v>260</v>
      </c>
      <c r="C32" s="7" t="s">
        <v>253</v>
      </c>
      <c r="D32" s="7" t="s">
        <v>42</v>
      </c>
      <c r="E32" s="8" t="n">
        <v>3</v>
      </c>
      <c r="F32" s="7" t="s">
        <v>261</v>
      </c>
      <c r="G32" s="7" t="s">
        <v>262</v>
      </c>
      <c r="H32" s="7" t="s">
        <v>263</v>
      </c>
      <c r="I32" s="7" t="s">
        <v>264</v>
      </c>
      <c r="J32" s="7" t="s">
        <v>265</v>
      </c>
      <c r="K32" s="9" t="n">
        <v>4999</v>
      </c>
      <c r="L32" s="10" t="n">
        <f aca="false">1-M32/K32</f>
        <v>0.700140028005601</v>
      </c>
      <c r="M32" s="11" t="n">
        <v>1499</v>
      </c>
      <c r="N32" s="7" t="s">
        <v>48</v>
      </c>
      <c r="O32" s="7" t="s">
        <v>49</v>
      </c>
      <c r="P32" s="7" t="s">
        <v>50</v>
      </c>
    </row>
    <row r="33" customFormat="false" ht="96" hidden="false" customHeight="true" outlineLevel="0" collapsed="false">
      <c r="A33" s="12" t="s">
        <v>266</v>
      </c>
      <c r="B33" s="13" t="s">
        <v>267</v>
      </c>
      <c r="C33" s="14" t="s">
        <v>253</v>
      </c>
      <c r="D33" s="14" t="s">
        <v>42</v>
      </c>
      <c r="E33" s="15" t="n">
        <v>6</v>
      </c>
      <c r="F33" s="14" t="s">
        <v>268</v>
      </c>
      <c r="G33" s="14" t="s">
        <v>269</v>
      </c>
      <c r="H33" s="14" t="s">
        <v>270</v>
      </c>
      <c r="I33" s="14" t="s">
        <v>271</v>
      </c>
      <c r="J33" s="14" t="s">
        <v>272</v>
      </c>
      <c r="K33" s="16" t="n">
        <v>9999</v>
      </c>
      <c r="L33" s="17" t="n">
        <f aca="false">1-M33/K33</f>
        <v>0.7000700070007</v>
      </c>
      <c r="M33" s="18" t="n">
        <v>2999</v>
      </c>
      <c r="N33" s="14" t="s">
        <v>48</v>
      </c>
      <c r="O33" s="14" t="s">
        <v>49</v>
      </c>
      <c r="P33" s="14" t="s">
        <v>50</v>
      </c>
    </row>
    <row r="34" customFormat="false" ht="96" hidden="false" customHeight="true" outlineLevel="0" collapsed="false">
      <c r="A34" s="5" t="s">
        <v>273</v>
      </c>
      <c r="B34" s="6" t="s">
        <v>274</v>
      </c>
      <c r="C34" s="7" t="s">
        <v>253</v>
      </c>
      <c r="D34" s="7" t="s">
        <v>42</v>
      </c>
      <c r="E34" s="8" t="n">
        <v>6</v>
      </c>
      <c r="F34" s="7" t="s">
        <v>275</v>
      </c>
      <c r="G34" s="7" t="s">
        <v>276</v>
      </c>
      <c r="H34" s="7" t="s">
        <v>277</v>
      </c>
      <c r="I34" s="7" t="s">
        <v>278</v>
      </c>
      <c r="J34" s="7" t="s">
        <v>279</v>
      </c>
      <c r="K34" s="9" t="n">
        <v>9999</v>
      </c>
      <c r="L34" s="10" t="n">
        <f aca="false">1-M34/K34</f>
        <v>0.7000700070007</v>
      </c>
      <c r="M34" s="11" t="n">
        <v>2999</v>
      </c>
      <c r="N34" s="7" t="s">
        <v>48</v>
      </c>
      <c r="O34" s="7" t="s">
        <v>49</v>
      </c>
      <c r="P34" s="7" t="s">
        <v>50</v>
      </c>
    </row>
    <row r="35" customFormat="false" ht="96" hidden="false" customHeight="true" outlineLevel="0" collapsed="false">
      <c r="A35" s="12" t="s">
        <v>280</v>
      </c>
      <c r="B35" s="13" t="s">
        <v>281</v>
      </c>
      <c r="C35" s="14" t="s">
        <v>253</v>
      </c>
      <c r="D35" s="14" t="s">
        <v>42</v>
      </c>
      <c r="E35" s="15" t="n">
        <v>6</v>
      </c>
      <c r="F35" s="14" t="s">
        <v>282</v>
      </c>
      <c r="G35" s="14" t="s">
        <v>283</v>
      </c>
      <c r="H35" s="14" t="s">
        <v>284</v>
      </c>
      <c r="I35" s="14" t="s">
        <v>285</v>
      </c>
      <c r="J35" s="14" t="s">
        <v>286</v>
      </c>
      <c r="K35" s="16" t="n">
        <v>9999</v>
      </c>
      <c r="L35" s="17" t="n">
        <f aca="false">1-M35/K35</f>
        <v>0.7000700070007</v>
      </c>
      <c r="M35" s="18" t="n">
        <v>2999</v>
      </c>
      <c r="N35" s="14" t="s">
        <v>48</v>
      </c>
      <c r="O35" s="14" t="s">
        <v>49</v>
      </c>
      <c r="P35" s="14" t="s">
        <v>50</v>
      </c>
    </row>
    <row r="36" customFormat="false" ht="96" hidden="false" customHeight="true" outlineLevel="0" collapsed="false">
      <c r="A36" s="5" t="s">
        <v>287</v>
      </c>
      <c r="B36" s="6" t="s">
        <v>288</v>
      </c>
      <c r="C36" s="7" t="s">
        <v>289</v>
      </c>
      <c r="D36" s="7" t="s">
        <v>42</v>
      </c>
      <c r="E36" s="8" t="n">
        <v>6</v>
      </c>
      <c r="F36" s="7" t="s">
        <v>290</v>
      </c>
      <c r="G36" s="7" t="s">
        <v>291</v>
      </c>
      <c r="H36" s="7" t="s">
        <v>292</v>
      </c>
      <c r="I36" s="7" t="s">
        <v>293</v>
      </c>
      <c r="J36" s="7" t="s">
        <v>294</v>
      </c>
      <c r="K36" s="9" t="n">
        <v>9999</v>
      </c>
      <c r="L36" s="10" t="n">
        <f aca="false">1-M36/K36</f>
        <v>0.7000700070007</v>
      </c>
      <c r="M36" s="11" t="n">
        <v>2999</v>
      </c>
      <c r="N36" s="7" t="s">
        <v>48</v>
      </c>
      <c r="O36" s="7" t="s">
        <v>49</v>
      </c>
      <c r="P36" s="7" t="s">
        <v>50</v>
      </c>
    </row>
    <row r="37" customFormat="false" ht="96" hidden="false" customHeight="true" outlineLevel="0" collapsed="false">
      <c r="A37" s="12" t="s">
        <v>295</v>
      </c>
      <c r="B37" s="13" t="s">
        <v>296</v>
      </c>
      <c r="C37" s="14" t="s">
        <v>289</v>
      </c>
      <c r="D37" s="14" t="s">
        <v>42</v>
      </c>
      <c r="E37" s="15" t="n">
        <v>6</v>
      </c>
      <c r="F37" s="14" t="s">
        <v>297</v>
      </c>
      <c r="G37" s="14" t="s">
        <v>298</v>
      </c>
      <c r="H37" s="14" t="s">
        <v>299</v>
      </c>
      <c r="I37" s="14" t="s">
        <v>300</v>
      </c>
      <c r="J37" s="14" t="s">
        <v>301</v>
      </c>
      <c r="K37" s="16" t="n">
        <v>9999</v>
      </c>
      <c r="L37" s="17" t="n">
        <f aca="false">1-M37/K37</f>
        <v>0.7000700070007</v>
      </c>
      <c r="M37" s="18" t="n">
        <v>2999</v>
      </c>
      <c r="N37" s="14" t="s">
        <v>48</v>
      </c>
      <c r="O37" s="14" t="s">
        <v>49</v>
      </c>
      <c r="P37" s="14" t="s">
        <v>50</v>
      </c>
    </row>
    <row r="38" customFormat="false" ht="96" hidden="false" customHeight="true" outlineLevel="0" collapsed="false">
      <c r="A38" s="5" t="s">
        <v>302</v>
      </c>
      <c r="B38" s="6" t="s">
        <v>303</v>
      </c>
      <c r="C38" s="7" t="s">
        <v>289</v>
      </c>
      <c r="D38" s="7" t="s">
        <v>42</v>
      </c>
      <c r="E38" s="8" t="n">
        <v>12</v>
      </c>
      <c r="F38" s="7" t="s">
        <v>304</v>
      </c>
      <c r="G38" s="7" t="s">
        <v>305</v>
      </c>
      <c r="H38" s="7" t="s">
        <v>306</v>
      </c>
      <c r="I38" s="7" t="s">
        <v>307</v>
      </c>
      <c r="J38" s="7" t="s">
        <v>308</v>
      </c>
      <c r="K38" s="9" t="n">
        <v>19999</v>
      </c>
      <c r="L38" s="10" t="n">
        <f aca="false">1-M38/K38</f>
        <v>0.750037501875094</v>
      </c>
      <c r="M38" s="11" t="n">
        <v>4999</v>
      </c>
      <c r="N38" s="7" t="s">
        <v>48</v>
      </c>
      <c r="O38" s="7" t="s">
        <v>49</v>
      </c>
      <c r="P38" s="7" t="s">
        <v>50</v>
      </c>
    </row>
    <row r="39" customFormat="false" ht="96" hidden="false" customHeight="true" outlineLevel="0" collapsed="false">
      <c r="A39" s="12" t="s">
        <v>309</v>
      </c>
      <c r="B39" s="13" t="s">
        <v>310</v>
      </c>
      <c r="C39" s="14" t="s">
        <v>289</v>
      </c>
      <c r="D39" s="14" t="s">
        <v>42</v>
      </c>
      <c r="E39" s="15" t="n">
        <v>3</v>
      </c>
      <c r="F39" s="14" t="s">
        <v>311</v>
      </c>
      <c r="G39" s="14" t="s">
        <v>312</v>
      </c>
      <c r="H39" s="14" t="s">
        <v>313</v>
      </c>
      <c r="I39" s="14" t="s">
        <v>314</v>
      </c>
      <c r="J39" s="14" t="s">
        <v>315</v>
      </c>
      <c r="K39" s="16" t="n">
        <v>4999</v>
      </c>
      <c r="L39" s="17" t="n">
        <f aca="false">1-M39/K39</f>
        <v>0.700140028005601</v>
      </c>
      <c r="M39" s="18" t="n">
        <v>1499</v>
      </c>
      <c r="N39" s="14" t="s">
        <v>48</v>
      </c>
      <c r="O39" s="14" t="s">
        <v>49</v>
      </c>
      <c r="P39" s="14" t="s">
        <v>50</v>
      </c>
    </row>
    <row r="40" customFormat="false" ht="96" hidden="false" customHeight="true" outlineLevel="0" collapsed="false">
      <c r="A40" s="5" t="s">
        <v>316</v>
      </c>
      <c r="B40" s="6" t="s">
        <v>317</v>
      </c>
      <c r="C40" s="7" t="s">
        <v>289</v>
      </c>
      <c r="D40" s="7" t="s">
        <v>42</v>
      </c>
      <c r="E40" s="8" t="n">
        <v>3</v>
      </c>
      <c r="F40" s="7" t="s">
        <v>318</v>
      </c>
      <c r="G40" s="7" t="s">
        <v>319</v>
      </c>
      <c r="H40" s="7" t="s">
        <v>320</v>
      </c>
      <c r="I40" s="7" t="s">
        <v>321</v>
      </c>
      <c r="J40" s="7" t="s">
        <v>322</v>
      </c>
      <c r="K40" s="9" t="n">
        <v>4999</v>
      </c>
      <c r="L40" s="10" t="n">
        <f aca="false">1-M40/K40</f>
        <v>0.700140028005601</v>
      </c>
      <c r="M40" s="11" t="n">
        <v>1499</v>
      </c>
      <c r="N40" s="7" t="s">
        <v>48</v>
      </c>
      <c r="O40" s="7" t="s">
        <v>49</v>
      </c>
      <c r="P40" s="7" t="s">
        <v>50</v>
      </c>
    </row>
    <row r="41" customFormat="false" ht="96" hidden="false" customHeight="true" outlineLevel="0" collapsed="false">
      <c r="A41" s="12" t="s">
        <v>323</v>
      </c>
      <c r="B41" s="13" t="s">
        <v>324</v>
      </c>
      <c r="C41" s="14" t="s">
        <v>289</v>
      </c>
      <c r="D41" s="14" t="s">
        <v>42</v>
      </c>
      <c r="E41" s="15" t="n">
        <v>6</v>
      </c>
      <c r="F41" s="14" t="s">
        <v>325</v>
      </c>
      <c r="G41" s="14" t="s">
        <v>326</v>
      </c>
      <c r="H41" s="14" t="s">
        <v>327</v>
      </c>
      <c r="I41" s="14" t="s">
        <v>328</v>
      </c>
      <c r="J41" s="14" t="s">
        <v>329</v>
      </c>
      <c r="K41" s="16" t="n">
        <v>9999</v>
      </c>
      <c r="L41" s="17" t="n">
        <f aca="false">1-M41/K41</f>
        <v>0.7000700070007</v>
      </c>
      <c r="M41" s="18" t="n">
        <v>2999</v>
      </c>
      <c r="N41" s="14" t="s">
        <v>48</v>
      </c>
      <c r="O41" s="14" t="s">
        <v>49</v>
      </c>
      <c r="P41" s="14" t="s">
        <v>50</v>
      </c>
    </row>
    <row r="42" customFormat="false" ht="96" hidden="false" customHeight="true" outlineLevel="0" collapsed="false">
      <c r="A42" s="5" t="s">
        <v>330</v>
      </c>
      <c r="B42" s="6" t="s">
        <v>331</v>
      </c>
      <c r="C42" s="7" t="s">
        <v>289</v>
      </c>
      <c r="D42" s="7" t="s">
        <v>42</v>
      </c>
      <c r="E42" s="8" t="n">
        <v>6</v>
      </c>
      <c r="F42" s="7" t="s">
        <v>332</v>
      </c>
      <c r="G42" s="7" t="s">
        <v>333</v>
      </c>
      <c r="H42" s="7" t="s">
        <v>334</v>
      </c>
      <c r="I42" s="7" t="s">
        <v>335</v>
      </c>
      <c r="J42" s="7" t="s">
        <v>336</v>
      </c>
      <c r="K42" s="9" t="n">
        <v>9999</v>
      </c>
      <c r="L42" s="10" t="n">
        <f aca="false">1-M42/K42</f>
        <v>0.7000700070007</v>
      </c>
      <c r="M42" s="11" t="n">
        <v>2999</v>
      </c>
      <c r="N42" s="7" t="s">
        <v>48</v>
      </c>
      <c r="O42" s="7" t="s">
        <v>49</v>
      </c>
      <c r="P42" s="7" t="s">
        <v>50</v>
      </c>
    </row>
    <row r="43" customFormat="false" ht="96" hidden="false" customHeight="true" outlineLevel="0" collapsed="false">
      <c r="A43" s="12" t="s">
        <v>337</v>
      </c>
      <c r="B43" s="13" t="s">
        <v>338</v>
      </c>
      <c r="C43" s="14" t="s">
        <v>339</v>
      </c>
      <c r="D43" s="14" t="s">
        <v>42</v>
      </c>
      <c r="E43" s="15" t="n">
        <v>12</v>
      </c>
      <c r="F43" s="14" t="s">
        <v>340</v>
      </c>
      <c r="G43" s="14" t="s">
        <v>341</v>
      </c>
      <c r="H43" s="14" t="s">
        <v>342</v>
      </c>
      <c r="I43" s="14" t="s">
        <v>343</v>
      </c>
      <c r="J43" s="14" t="s">
        <v>344</v>
      </c>
      <c r="K43" s="16" t="n">
        <v>19999</v>
      </c>
      <c r="L43" s="17" t="n">
        <f aca="false">1-M43/K43</f>
        <v>0.750037501875094</v>
      </c>
      <c r="M43" s="18" t="n">
        <v>4999</v>
      </c>
      <c r="N43" s="14" t="s">
        <v>48</v>
      </c>
      <c r="O43" s="14" t="s">
        <v>49</v>
      </c>
      <c r="P43" s="14" t="s">
        <v>50</v>
      </c>
    </row>
    <row r="44" customFormat="false" ht="96" hidden="false" customHeight="true" outlineLevel="0" collapsed="false">
      <c r="A44" s="5" t="s">
        <v>345</v>
      </c>
      <c r="B44" s="6" t="s">
        <v>346</v>
      </c>
      <c r="C44" s="7" t="s">
        <v>339</v>
      </c>
      <c r="D44" s="7" t="s">
        <v>67</v>
      </c>
      <c r="E44" s="8" t="n">
        <v>16</v>
      </c>
      <c r="F44" s="7" t="s">
        <v>347</v>
      </c>
      <c r="G44" s="7" t="s">
        <v>348</v>
      </c>
      <c r="H44" s="7" t="s">
        <v>349</v>
      </c>
      <c r="I44" s="7" t="s">
        <v>350</v>
      </c>
      <c r="J44" s="7" t="s">
        <v>351</v>
      </c>
      <c r="K44" s="9" t="n">
        <v>19999</v>
      </c>
      <c r="L44" s="10" t="n">
        <f aca="false">1-M44/K44</f>
        <v>0.750037501875094</v>
      </c>
      <c r="M44" s="11" t="n">
        <v>4999</v>
      </c>
      <c r="N44" s="7" t="s">
        <v>48</v>
      </c>
      <c r="O44" s="7" t="s">
        <v>49</v>
      </c>
      <c r="P44" s="7" t="s">
        <v>50</v>
      </c>
    </row>
    <row r="45" customFormat="false" ht="96" hidden="false" customHeight="true" outlineLevel="0" collapsed="false">
      <c r="A45" s="12" t="s">
        <v>352</v>
      </c>
      <c r="B45" s="13" t="s">
        <v>353</v>
      </c>
      <c r="C45" s="14" t="s">
        <v>339</v>
      </c>
      <c r="D45" s="14" t="s">
        <v>67</v>
      </c>
      <c r="E45" s="15" t="n">
        <v>6</v>
      </c>
      <c r="F45" s="14" t="s">
        <v>354</v>
      </c>
      <c r="G45" s="14" t="s">
        <v>355</v>
      </c>
      <c r="H45" s="14" t="s">
        <v>356</v>
      </c>
      <c r="I45" s="14" t="s">
        <v>357</v>
      </c>
      <c r="J45" s="14" t="s">
        <v>358</v>
      </c>
      <c r="K45" s="16" t="n">
        <v>9999</v>
      </c>
      <c r="L45" s="17" t="n">
        <f aca="false">1-M45/K45</f>
        <v>0.7000700070007</v>
      </c>
      <c r="M45" s="18" t="n">
        <v>2999</v>
      </c>
      <c r="N45" s="14" t="s">
        <v>48</v>
      </c>
      <c r="O45" s="14" t="s">
        <v>49</v>
      </c>
      <c r="P45" s="14" t="s">
        <v>50</v>
      </c>
    </row>
    <row r="46" customFormat="false" ht="96" hidden="false" customHeight="true" outlineLevel="0" collapsed="false">
      <c r="A46" s="5" t="s">
        <v>359</v>
      </c>
      <c r="B46" s="6" t="s">
        <v>360</v>
      </c>
      <c r="C46" s="7" t="s">
        <v>339</v>
      </c>
      <c r="D46" s="7" t="s">
        <v>67</v>
      </c>
      <c r="E46" s="8" t="n">
        <v>6</v>
      </c>
      <c r="F46" s="7" t="s">
        <v>361</v>
      </c>
      <c r="G46" s="7" t="s">
        <v>362</v>
      </c>
      <c r="H46" s="7" t="s">
        <v>363</v>
      </c>
      <c r="I46" s="7" t="s">
        <v>364</v>
      </c>
      <c r="J46" s="7" t="s">
        <v>365</v>
      </c>
      <c r="K46" s="9" t="n">
        <v>9999</v>
      </c>
      <c r="L46" s="10" t="n">
        <f aca="false">1-M46/K46</f>
        <v>0.7000700070007</v>
      </c>
      <c r="M46" s="11" t="n">
        <v>2999</v>
      </c>
      <c r="N46" s="7" t="s">
        <v>48</v>
      </c>
      <c r="O46" s="7" t="s">
        <v>49</v>
      </c>
      <c r="P46" s="7" t="s">
        <v>50</v>
      </c>
    </row>
    <row r="47" customFormat="false" ht="96" hidden="false" customHeight="true" outlineLevel="0" collapsed="false">
      <c r="A47" s="12" t="s">
        <v>366</v>
      </c>
      <c r="B47" s="13" t="s">
        <v>367</v>
      </c>
      <c r="C47" s="14" t="s">
        <v>339</v>
      </c>
      <c r="D47" s="14" t="s">
        <v>67</v>
      </c>
      <c r="E47" s="15" t="n">
        <v>6</v>
      </c>
      <c r="F47" s="14" t="s">
        <v>368</v>
      </c>
      <c r="G47" s="14" t="s">
        <v>369</v>
      </c>
      <c r="H47" s="14" t="s">
        <v>370</v>
      </c>
      <c r="I47" s="14" t="s">
        <v>371</v>
      </c>
      <c r="J47" s="14" t="s">
        <v>372</v>
      </c>
      <c r="K47" s="16" t="n">
        <v>9999</v>
      </c>
      <c r="L47" s="17" t="n">
        <f aca="false">1-M47/K47</f>
        <v>0.7000700070007</v>
      </c>
      <c r="M47" s="18" t="n">
        <v>2999</v>
      </c>
      <c r="N47" s="14" t="s">
        <v>48</v>
      </c>
      <c r="O47" s="14" t="s">
        <v>49</v>
      </c>
      <c r="P47" s="14" t="s">
        <v>50</v>
      </c>
    </row>
    <row r="48" customFormat="false" ht="96" hidden="false" customHeight="true" outlineLevel="0" collapsed="false">
      <c r="A48" s="5" t="s">
        <v>373</v>
      </c>
      <c r="B48" s="6" t="s">
        <v>374</v>
      </c>
      <c r="C48" s="7" t="s">
        <v>339</v>
      </c>
      <c r="D48" s="7" t="s">
        <v>67</v>
      </c>
      <c r="E48" s="8" t="n">
        <v>12</v>
      </c>
      <c r="F48" s="7" t="s">
        <v>375</v>
      </c>
      <c r="G48" s="7" t="s">
        <v>376</v>
      </c>
      <c r="H48" s="7" t="s">
        <v>377</v>
      </c>
      <c r="I48" s="7" t="s">
        <v>378</v>
      </c>
      <c r="J48" s="7" t="s">
        <v>379</v>
      </c>
      <c r="K48" s="9" t="n">
        <v>19999</v>
      </c>
      <c r="L48" s="10" t="n">
        <f aca="false">1-M48/K48</f>
        <v>0.750037501875094</v>
      </c>
      <c r="M48" s="11" t="n">
        <v>4999</v>
      </c>
      <c r="N48" s="7" t="s">
        <v>48</v>
      </c>
      <c r="O48" s="7" t="s">
        <v>49</v>
      </c>
      <c r="P48" s="7" t="s">
        <v>50</v>
      </c>
    </row>
    <row r="49" customFormat="false" ht="96" hidden="false" customHeight="true" outlineLevel="0" collapsed="false">
      <c r="A49" s="12" t="s">
        <v>380</v>
      </c>
      <c r="B49" s="13" t="s">
        <v>381</v>
      </c>
      <c r="C49" s="14" t="s">
        <v>339</v>
      </c>
      <c r="D49" s="14" t="s">
        <v>67</v>
      </c>
      <c r="E49" s="15" t="n">
        <v>6</v>
      </c>
      <c r="F49" s="14" t="s">
        <v>382</v>
      </c>
      <c r="G49" s="14" t="s">
        <v>383</v>
      </c>
      <c r="H49" s="14" t="s">
        <v>384</v>
      </c>
      <c r="I49" s="14" t="s">
        <v>385</v>
      </c>
      <c r="J49" s="14" t="s">
        <v>386</v>
      </c>
      <c r="K49" s="16" t="n">
        <v>9999</v>
      </c>
      <c r="L49" s="17" t="n">
        <f aca="false">1-M49/K49</f>
        <v>0.7000700070007</v>
      </c>
      <c r="M49" s="18" t="n">
        <v>2999</v>
      </c>
      <c r="N49" s="14" t="s">
        <v>48</v>
      </c>
      <c r="O49" s="14" t="s">
        <v>49</v>
      </c>
      <c r="P49" s="14" t="s">
        <v>50</v>
      </c>
    </row>
    <row r="50" customFormat="false" ht="96" hidden="false" customHeight="true" outlineLevel="0" collapsed="false">
      <c r="A50" s="5" t="s">
        <v>387</v>
      </c>
      <c r="B50" s="6" t="s">
        <v>388</v>
      </c>
      <c r="C50" s="7" t="s">
        <v>339</v>
      </c>
      <c r="D50" s="7" t="s">
        <v>67</v>
      </c>
      <c r="E50" s="8" t="n">
        <v>6</v>
      </c>
      <c r="F50" s="7" t="s">
        <v>389</v>
      </c>
      <c r="G50" s="7" t="s">
        <v>390</v>
      </c>
      <c r="H50" s="7" t="s">
        <v>391</v>
      </c>
      <c r="I50" s="7" t="s">
        <v>392</v>
      </c>
      <c r="J50" s="7" t="s">
        <v>393</v>
      </c>
      <c r="K50" s="9" t="n">
        <v>9999</v>
      </c>
      <c r="L50" s="10" t="n">
        <f aca="false">1-M50/K50</f>
        <v>0.7000700070007</v>
      </c>
      <c r="M50" s="11" t="n">
        <v>2999</v>
      </c>
      <c r="N50" s="7" t="s">
        <v>48</v>
      </c>
      <c r="O50" s="7" t="s">
        <v>49</v>
      </c>
      <c r="P50" s="7" t="s">
        <v>50</v>
      </c>
    </row>
    <row r="51" customFormat="false" ht="96" hidden="false" customHeight="true" outlineLevel="0" collapsed="false">
      <c r="A51" s="12" t="s">
        <v>394</v>
      </c>
      <c r="B51" s="13" t="s">
        <v>395</v>
      </c>
      <c r="C51" s="14" t="s">
        <v>396</v>
      </c>
      <c r="D51" s="14" t="s">
        <v>67</v>
      </c>
      <c r="E51" s="15" t="n">
        <v>12</v>
      </c>
      <c r="F51" s="14" t="s">
        <v>397</v>
      </c>
      <c r="G51" s="14" t="s">
        <v>398</v>
      </c>
      <c r="H51" s="14" t="s">
        <v>399</v>
      </c>
      <c r="I51" s="14" t="s">
        <v>400</v>
      </c>
      <c r="J51" s="14" t="s">
        <v>401</v>
      </c>
      <c r="K51" s="16" t="n">
        <v>19999</v>
      </c>
      <c r="L51" s="17" t="n">
        <f aca="false">1-M51/K51</f>
        <v>0.750037501875094</v>
      </c>
      <c r="M51" s="18" t="n">
        <v>4999</v>
      </c>
      <c r="N51" s="14" t="s">
        <v>48</v>
      </c>
      <c r="O51" s="14" t="s">
        <v>49</v>
      </c>
      <c r="P51" s="14" t="s">
        <v>50</v>
      </c>
    </row>
    <row r="52" customFormat="false" ht="96" hidden="false" customHeight="true" outlineLevel="0" collapsed="false">
      <c r="A52" s="5" t="s">
        <v>402</v>
      </c>
      <c r="B52" s="6" t="s">
        <v>403</v>
      </c>
      <c r="C52" s="7" t="s">
        <v>396</v>
      </c>
      <c r="D52" s="7" t="s">
        <v>42</v>
      </c>
      <c r="E52" s="8" t="n">
        <v>6</v>
      </c>
      <c r="F52" s="7" t="s">
        <v>404</v>
      </c>
      <c r="G52" s="7" t="s">
        <v>405</v>
      </c>
      <c r="H52" s="7" t="s">
        <v>406</v>
      </c>
      <c r="I52" s="7" t="s">
        <v>407</v>
      </c>
      <c r="J52" s="7" t="s">
        <v>408</v>
      </c>
      <c r="K52" s="9" t="n">
        <v>9999</v>
      </c>
      <c r="L52" s="10" t="n">
        <f aca="false">1-M52/K52</f>
        <v>0.7000700070007</v>
      </c>
      <c r="M52" s="11" t="n">
        <v>2999</v>
      </c>
      <c r="N52" s="7" t="s">
        <v>48</v>
      </c>
      <c r="O52" s="7" t="s">
        <v>49</v>
      </c>
      <c r="P52" s="7" t="s">
        <v>50</v>
      </c>
    </row>
    <row r="53" customFormat="false" ht="96" hidden="false" customHeight="true" outlineLevel="0" collapsed="false">
      <c r="A53" s="12" t="s">
        <v>409</v>
      </c>
      <c r="B53" s="13" t="s">
        <v>410</v>
      </c>
      <c r="C53" s="14" t="s">
        <v>396</v>
      </c>
      <c r="D53" s="14" t="s">
        <v>67</v>
      </c>
      <c r="E53" s="15" t="n">
        <v>6</v>
      </c>
      <c r="F53" s="14" t="s">
        <v>411</v>
      </c>
      <c r="G53" s="14" t="s">
        <v>412</v>
      </c>
      <c r="H53" s="14" t="s">
        <v>413</v>
      </c>
      <c r="I53" s="14" t="s">
        <v>414</v>
      </c>
      <c r="J53" s="14" t="s">
        <v>415</v>
      </c>
      <c r="K53" s="16" t="n">
        <v>9999</v>
      </c>
      <c r="L53" s="17" t="n">
        <f aca="false">1-M53/K53</f>
        <v>0.7000700070007</v>
      </c>
      <c r="M53" s="18" t="n">
        <v>2999</v>
      </c>
      <c r="N53" s="14" t="s">
        <v>48</v>
      </c>
      <c r="O53" s="14" t="s">
        <v>49</v>
      </c>
      <c r="P53" s="14" t="s">
        <v>50</v>
      </c>
    </row>
    <row r="54" customFormat="false" ht="96" hidden="false" customHeight="true" outlineLevel="0" collapsed="false">
      <c r="A54" s="5" t="s">
        <v>416</v>
      </c>
      <c r="B54" s="6" t="s">
        <v>417</v>
      </c>
      <c r="C54" s="7" t="s">
        <v>396</v>
      </c>
      <c r="D54" s="7" t="s">
        <v>42</v>
      </c>
      <c r="E54" s="8" t="n">
        <v>12</v>
      </c>
      <c r="F54" s="7" t="s">
        <v>418</v>
      </c>
      <c r="G54" s="7" t="s">
        <v>419</v>
      </c>
      <c r="H54" s="7" t="s">
        <v>420</v>
      </c>
      <c r="I54" s="7" t="s">
        <v>421</v>
      </c>
      <c r="J54" s="7" t="s">
        <v>422</v>
      </c>
      <c r="K54" s="9" t="n">
        <v>19999</v>
      </c>
      <c r="L54" s="10" t="n">
        <f aca="false">1-M54/K54</f>
        <v>0.750037501875094</v>
      </c>
      <c r="M54" s="11" t="n">
        <v>4999</v>
      </c>
      <c r="N54" s="7" t="s">
        <v>48</v>
      </c>
      <c r="O54" s="7" t="s">
        <v>49</v>
      </c>
      <c r="P54" s="7" t="s">
        <v>50</v>
      </c>
    </row>
    <row r="55" customFormat="false" ht="96" hidden="false" customHeight="true" outlineLevel="0" collapsed="false">
      <c r="A55" s="12" t="s">
        <v>423</v>
      </c>
      <c r="B55" s="13" t="s">
        <v>424</v>
      </c>
      <c r="C55" s="14" t="s">
        <v>425</v>
      </c>
      <c r="D55" s="14" t="s">
        <v>67</v>
      </c>
      <c r="E55" s="15" t="n">
        <v>12</v>
      </c>
      <c r="F55" s="14" t="s">
        <v>426</v>
      </c>
      <c r="G55" s="14" t="s">
        <v>427</v>
      </c>
      <c r="H55" s="14" t="s">
        <v>428</v>
      </c>
      <c r="I55" s="14" t="s">
        <v>429</v>
      </c>
      <c r="J55" s="14" t="s">
        <v>430</v>
      </c>
      <c r="K55" s="16" t="n">
        <v>19999</v>
      </c>
      <c r="L55" s="17" t="n">
        <f aca="false">1-M55/K55</f>
        <v>0.750037501875094</v>
      </c>
      <c r="M55" s="18" t="n">
        <v>4999</v>
      </c>
      <c r="N55" s="14" t="s">
        <v>48</v>
      </c>
      <c r="O55" s="14" t="s">
        <v>49</v>
      </c>
      <c r="P55" s="14" t="s">
        <v>50</v>
      </c>
    </row>
    <row r="56" customFormat="false" ht="96" hidden="false" customHeight="true" outlineLevel="0" collapsed="false">
      <c r="A56" s="5" t="s">
        <v>431</v>
      </c>
      <c r="B56" s="6" t="s">
        <v>432</v>
      </c>
      <c r="C56" s="7" t="s">
        <v>425</v>
      </c>
      <c r="D56" s="7" t="s">
        <v>42</v>
      </c>
      <c r="E56" s="8" t="n">
        <v>6</v>
      </c>
      <c r="F56" s="7" t="s">
        <v>433</v>
      </c>
      <c r="G56" s="7" t="s">
        <v>434</v>
      </c>
      <c r="H56" s="7" t="s">
        <v>435</v>
      </c>
      <c r="I56" s="7" t="s">
        <v>436</v>
      </c>
      <c r="J56" s="7" t="s">
        <v>437</v>
      </c>
      <c r="K56" s="9" t="n">
        <v>9999</v>
      </c>
      <c r="L56" s="10" t="n">
        <f aca="false">1-M56/K56</f>
        <v>0.7000700070007</v>
      </c>
      <c r="M56" s="11" t="n">
        <v>2999</v>
      </c>
      <c r="N56" s="7" t="s">
        <v>48</v>
      </c>
      <c r="O56" s="7" t="s">
        <v>49</v>
      </c>
      <c r="P56" s="7" t="s">
        <v>50</v>
      </c>
    </row>
    <row r="57" customFormat="false" ht="96" hidden="false" customHeight="true" outlineLevel="0" collapsed="false">
      <c r="A57" s="12" t="s">
        <v>438</v>
      </c>
      <c r="B57" s="13" t="s">
        <v>439</v>
      </c>
      <c r="C57" s="14" t="s">
        <v>425</v>
      </c>
      <c r="D57" s="14" t="s">
        <v>67</v>
      </c>
      <c r="E57" s="15" t="n">
        <v>12</v>
      </c>
      <c r="F57" s="14" t="s">
        <v>440</v>
      </c>
      <c r="G57" s="14" t="s">
        <v>441</v>
      </c>
      <c r="H57" s="14" t="s">
        <v>442</v>
      </c>
      <c r="I57" s="14" t="s">
        <v>443</v>
      </c>
      <c r="J57" s="14" t="s">
        <v>444</v>
      </c>
      <c r="K57" s="16" t="n">
        <v>19999</v>
      </c>
      <c r="L57" s="17" t="n">
        <f aca="false">1-M57/K57</f>
        <v>0.750037501875094</v>
      </c>
      <c r="M57" s="18" t="n">
        <v>4999</v>
      </c>
      <c r="N57" s="14" t="s">
        <v>48</v>
      </c>
      <c r="O57" s="14" t="s">
        <v>49</v>
      </c>
      <c r="P57" s="14" t="s">
        <v>50</v>
      </c>
    </row>
    <row r="58" customFormat="false" ht="96" hidden="false" customHeight="true" outlineLevel="0" collapsed="false">
      <c r="A58" s="5" t="s">
        <v>445</v>
      </c>
      <c r="B58" s="6" t="s">
        <v>446</v>
      </c>
      <c r="C58" s="7" t="s">
        <v>425</v>
      </c>
      <c r="D58" s="7" t="s">
        <v>67</v>
      </c>
      <c r="E58" s="8" t="n">
        <v>12</v>
      </c>
      <c r="F58" s="7" t="s">
        <v>447</v>
      </c>
      <c r="G58" s="7" t="s">
        <v>448</v>
      </c>
      <c r="H58" s="7" t="s">
        <v>449</v>
      </c>
      <c r="I58" s="7" t="s">
        <v>450</v>
      </c>
      <c r="J58" s="7" t="s">
        <v>451</v>
      </c>
      <c r="K58" s="9" t="n">
        <v>19999</v>
      </c>
      <c r="L58" s="10" t="n">
        <f aca="false">1-M58/K58</f>
        <v>0.750037501875094</v>
      </c>
      <c r="M58" s="11" t="n">
        <v>4999</v>
      </c>
      <c r="N58" s="7" t="s">
        <v>48</v>
      </c>
      <c r="O58" s="7" t="s">
        <v>49</v>
      </c>
      <c r="P58" s="7" t="s">
        <v>50</v>
      </c>
    </row>
    <row r="59" customFormat="false" ht="96" hidden="false" customHeight="true" outlineLevel="0" collapsed="false">
      <c r="A59" s="12" t="s">
        <v>452</v>
      </c>
      <c r="B59" s="13" t="s">
        <v>453</v>
      </c>
      <c r="C59" s="14" t="s">
        <v>425</v>
      </c>
      <c r="D59" s="14" t="s">
        <v>67</v>
      </c>
      <c r="E59" s="15" t="n">
        <v>3</v>
      </c>
      <c r="F59" s="14" t="s">
        <v>454</v>
      </c>
      <c r="G59" s="14" t="s">
        <v>455</v>
      </c>
      <c r="H59" s="14" t="s">
        <v>456</v>
      </c>
      <c r="I59" s="14" t="s">
        <v>457</v>
      </c>
      <c r="J59" s="14" t="s">
        <v>458</v>
      </c>
      <c r="K59" s="16" t="n">
        <v>4999</v>
      </c>
      <c r="L59" s="17" t="n">
        <f aca="false">1-M59/K59</f>
        <v>0.700140028005601</v>
      </c>
      <c r="M59" s="18" t="n">
        <v>1499</v>
      </c>
      <c r="N59" s="14" t="s">
        <v>48</v>
      </c>
      <c r="O59" s="14" t="s">
        <v>49</v>
      </c>
      <c r="P59" s="14" t="s">
        <v>50</v>
      </c>
    </row>
    <row r="60" customFormat="false" ht="96" hidden="false" customHeight="true" outlineLevel="0" collapsed="false">
      <c r="A60" s="5" t="s">
        <v>459</v>
      </c>
      <c r="B60" s="6" t="s">
        <v>460</v>
      </c>
      <c r="C60" s="7" t="s">
        <v>425</v>
      </c>
      <c r="D60" s="7" t="s">
        <v>67</v>
      </c>
      <c r="E60" s="8" t="n">
        <v>6</v>
      </c>
      <c r="F60" s="7" t="s">
        <v>461</v>
      </c>
      <c r="G60" s="7" t="s">
        <v>462</v>
      </c>
      <c r="H60" s="7" t="s">
        <v>463</v>
      </c>
      <c r="I60" s="7" t="s">
        <v>464</v>
      </c>
      <c r="J60" s="7" t="s">
        <v>465</v>
      </c>
      <c r="K60" s="9" t="n">
        <v>9999</v>
      </c>
      <c r="L60" s="10" t="n">
        <f aca="false">1-M60/K60</f>
        <v>0.7000700070007</v>
      </c>
      <c r="M60" s="11" t="n">
        <v>2999</v>
      </c>
      <c r="N60" s="7" t="s">
        <v>48</v>
      </c>
      <c r="O60" s="7" t="s">
        <v>49</v>
      </c>
      <c r="P60" s="7" t="s">
        <v>50</v>
      </c>
    </row>
    <row r="61" customFormat="false" ht="96" hidden="false" customHeight="true" outlineLevel="0" collapsed="false">
      <c r="A61" s="12" t="s">
        <v>466</v>
      </c>
      <c r="B61" s="13" t="s">
        <v>467</v>
      </c>
      <c r="C61" s="14" t="s">
        <v>468</v>
      </c>
      <c r="D61" s="14" t="s">
        <v>42</v>
      </c>
      <c r="E61" s="15" t="n">
        <v>3</v>
      </c>
      <c r="F61" s="14" t="s">
        <v>469</v>
      </c>
      <c r="G61" s="14" t="s">
        <v>470</v>
      </c>
      <c r="H61" s="14" t="s">
        <v>471</v>
      </c>
      <c r="I61" s="14" t="s">
        <v>472</v>
      </c>
      <c r="J61" s="14" t="s">
        <v>473</v>
      </c>
      <c r="K61" s="16" t="n">
        <v>4999</v>
      </c>
      <c r="L61" s="17" t="n">
        <f aca="false">1-M61/K61</f>
        <v>0.700140028005601</v>
      </c>
      <c r="M61" s="18" t="n">
        <v>1499</v>
      </c>
      <c r="N61" s="14" t="s">
        <v>48</v>
      </c>
      <c r="O61" s="14" t="s">
        <v>49</v>
      </c>
      <c r="P61" s="14" t="s">
        <v>50</v>
      </c>
    </row>
    <row r="62" customFormat="false" ht="96" hidden="false" customHeight="true" outlineLevel="0" collapsed="false">
      <c r="A62" s="5" t="s">
        <v>474</v>
      </c>
      <c r="B62" s="6" t="s">
        <v>475</v>
      </c>
      <c r="C62" s="7" t="s">
        <v>468</v>
      </c>
      <c r="D62" s="7" t="s">
        <v>42</v>
      </c>
      <c r="E62" s="8" t="n">
        <v>3</v>
      </c>
      <c r="F62" s="7" t="s">
        <v>476</v>
      </c>
      <c r="G62" s="7" t="s">
        <v>477</v>
      </c>
      <c r="H62" s="7" t="s">
        <v>478</v>
      </c>
      <c r="I62" s="7" t="s">
        <v>479</v>
      </c>
      <c r="J62" s="7" t="s">
        <v>480</v>
      </c>
      <c r="K62" s="9" t="n">
        <v>4999</v>
      </c>
      <c r="L62" s="10" t="n">
        <f aca="false">1-M62/K62</f>
        <v>0.700140028005601</v>
      </c>
      <c r="M62" s="11" t="n">
        <v>1499</v>
      </c>
      <c r="N62" s="7" t="s">
        <v>48</v>
      </c>
      <c r="O62" s="7" t="s">
        <v>49</v>
      </c>
      <c r="P62" s="7" t="s">
        <v>50</v>
      </c>
    </row>
    <row r="63" customFormat="false" ht="96" hidden="false" customHeight="true" outlineLevel="0" collapsed="false">
      <c r="A63" s="12" t="s">
        <v>481</v>
      </c>
      <c r="B63" s="13" t="s">
        <v>482</v>
      </c>
      <c r="C63" s="14" t="s">
        <v>468</v>
      </c>
      <c r="D63" s="14" t="s">
        <v>42</v>
      </c>
      <c r="E63" s="15" t="n">
        <v>3</v>
      </c>
      <c r="F63" s="14" t="s">
        <v>483</v>
      </c>
      <c r="G63" s="14" t="s">
        <v>484</v>
      </c>
      <c r="H63" s="14" t="s">
        <v>485</v>
      </c>
      <c r="I63" s="14" t="s">
        <v>486</v>
      </c>
      <c r="J63" s="14" t="s">
        <v>487</v>
      </c>
      <c r="K63" s="16" t="n">
        <v>4999</v>
      </c>
      <c r="L63" s="17" t="n">
        <f aca="false">1-M63/K63</f>
        <v>0.700140028005601</v>
      </c>
      <c r="M63" s="18" t="n">
        <v>1499</v>
      </c>
      <c r="N63" s="14" t="s">
        <v>48</v>
      </c>
      <c r="O63" s="14" t="s">
        <v>49</v>
      </c>
      <c r="P63" s="14" t="s">
        <v>50</v>
      </c>
    </row>
    <row r="64" customFormat="false" ht="96" hidden="false" customHeight="true" outlineLevel="0" collapsed="false">
      <c r="A64" s="5" t="s">
        <v>488</v>
      </c>
      <c r="B64" s="6" t="s">
        <v>489</v>
      </c>
      <c r="C64" s="7" t="s">
        <v>468</v>
      </c>
      <c r="D64" s="7" t="s">
        <v>67</v>
      </c>
      <c r="E64" s="8" t="n">
        <v>3</v>
      </c>
      <c r="F64" s="7" t="s">
        <v>490</v>
      </c>
      <c r="G64" s="7" t="s">
        <v>491</v>
      </c>
      <c r="H64" s="7" t="s">
        <v>492</v>
      </c>
      <c r="I64" s="7" t="s">
        <v>493</v>
      </c>
      <c r="J64" s="7" t="s">
        <v>494</v>
      </c>
      <c r="K64" s="9" t="n">
        <v>4999</v>
      </c>
      <c r="L64" s="10" t="n">
        <f aca="false">1-M64/K64</f>
        <v>0.700140028005601</v>
      </c>
      <c r="M64" s="11" t="n">
        <v>1499</v>
      </c>
      <c r="N64" s="7" t="s">
        <v>48</v>
      </c>
      <c r="O64" s="7" t="s">
        <v>49</v>
      </c>
      <c r="P64" s="7" t="s">
        <v>50</v>
      </c>
    </row>
    <row r="65" customFormat="false" ht="96" hidden="false" customHeight="true" outlineLevel="0" collapsed="false">
      <c r="A65" s="12" t="s">
        <v>495</v>
      </c>
      <c r="B65" s="13" t="s">
        <v>496</v>
      </c>
      <c r="C65" s="14" t="s">
        <v>497</v>
      </c>
      <c r="D65" s="14" t="s">
        <v>67</v>
      </c>
      <c r="E65" s="15" t="n">
        <v>3</v>
      </c>
      <c r="F65" s="14" t="s">
        <v>498</v>
      </c>
      <c r="G65" s="14" t="s">
        <v>499</v>
      </c>
      <c r="H65" s="14" t="s">
        <v>500</v>
      </c>
      <c r="I65" s="14" t="s">
        <v>501</v>
      </c>
      <c r="J65" s="14" t="s">
        <v>502</v>
      </c>
      <c r="K65" s="16" t="n">
        <v>4999</v>
      </c>
      <c r="L65" s="17" t="n">
        <f aca="false">1-M65/K65</f>
        <v>0.700140028005601</v>
      </c>
      <c r="M65" s="18" t="n">
        <v>1499</v>
      </c>
      <c r="N65" s="14" t="s">
        <v>48</v>
      </c>
      <c r="O65" s="14" t="s">
        <v>49</v>
      </c>
      <c r="P65" s="14" t="s">
        <v>50</v>
      </c>
    </row>
    <row r="66" customFormat="false" ht="96" hidden="false" customHeight="true" outlineLevel="0" collapsed="false">
      <c r="A66" s="5" t="s">
        <v>503</v>
      </c>
      <c r="B66" s="6" t="s">
        <v>504</v>
      </c>
      <c r="C66" s="7" t="s">
        <v>497</v>
      </c>
      <c r="D66" s="7" t="s">
        <v>67</v>
      </c>
      <c r="E66" s="8" t="n">
        <v>3</v>
      </c>
      <c r="F66" s="7" t="s">
        <v>505</v>
      </c>
      <c r="G66" s="7" t="s">
        <v>506</v>
      </c>
      <c r="H66" s="7" t="s">
        <v>507</v>
      </c>
      <c r="I66" s="7" t="s">
        <v>508</v>
      </c>
      <c r="J66" s="7" t="s">
        <v>509</v>
      </c>
      <c r="K66" s="9" t="n">
        <v>4999</v>
      </c>
      <c r="L66" s="10" t="n">
        <f aca="false">1-M66/K66</f>
        <v>0.700140028005601</v>
      </c>
      <c r="M66" s="11" t="n">
        <v>1499</v>
      </c>
      <c r="N66" s="7" t="s">
        <v>48</v>
      </c>
      <c r="O66" s="7" t="s">
        <v>49</v>
      </c>
      <c r="P66" s="7" t="s">
        <v>50</v>
      </c>
    </row>
    <row r="67" customFormat="false" ht="96" hidden="false" customHeight="true" outlineLevel="0" collapsed="false">
      <c r="A67" s="12" t="s">
        <v>510</v>
      </c>
      <c r="B67" s="13" t="s">
        <v>511</v>
      </c>
      <c r="C67" s="14" t="s">
        <v>497</v>
      </c>
      <c r="D67" s="14" t="s">
        <v>67</v>
      </c>
      <c r="E67" s="15" t="n">
        <v>3</v>
      </c>
      <c r="F67" s="14" t="s">
        <v>512</v>
      </c>
      <c r="G67" s="14" t="s">
        <v>513</v>
      </c>
      <c r="H67" s="14" t="s">
        <v>514</v>
      </c>
      <c r="I67" s="14" t="s">
        <v>515</v>
      </c>
      <c r="J67" s="14" t="s">
        <v>516</v>
      </c>
      <c r="K67" s="16" t="n">
        <v>4999</v>
      </c>
      <c r="L67" s="17" t="n">
        <f aca="false">1-M67/K67</f>
        <v>0.700140028005601</v>
      </c>
      <c r="M67" s="18" t="n">
        <v>1499</v>
      </c>
      <c r="N67" s="14" t="s">
        <v>48</v>
      </c>
      <c r="O67" s="14" t="s">
        <v>49</v>
      </c>
      <c r="P67" s="14" t="s">
        <v>50</v>
      </c>
    </row>
    <row r="68" customFormat="false" ht="96" hidden="false" customHeight="true" outlineLevel="0" collapsed="false">
      <c r="A68" s="5" t="s">
        <v>517</v>
      </c>
      <c r="B68" s="6" t="s">
        <v>518</v>
      </c>
      <c r="C68" s="7" t="s">
        <v>497</v>
      </c>
      <c r="D68" s="7" t="s">
        <v>67</v>
      </c>
      <c r="E68" s="8" t="n">
        <v>3</v>
      </c>
      <c r="F68" s="7" t="s">
        <v>519</v>
      </c>
      <c r="G68" s="7" t="s">
        <v>520</v>
      </c>
      <c r="H68" s="7" t="s">
        <v>521</v>
      </c>
      <c r="I68" s="7" t="s">
        <v>522</v>
      </c>
      <c r="J68" s="7" t="s">
        <v>523</v>
      </c>
      <c r="K68" s="9" t="n">
        <v>4999</v>
      </c>
      <c r="L68" s="10" t="n">
        <f aca="false">1-M68/K68</f>
        <v>0.700140028005601</v>
      </c>
      <c r="M68" s="11" t="n">
        <v>1499</v>
      </c>
      <c r="N68" s="7" t="s">
        <v>48</v>
      </c>
      <c r="O68" s="7" t="s">
        <v>49</v>
      </c>
      <c r="P68" s="7" t="s">
        <v>50</v>
      </c>
    </row>
    <row r="69" customFormat="false" ht="96" hidden="false" customHeight="true" outlineLevel="0" collapsed="false">
      <c r="A69" s="12" t="s">
        <v>524</v>
      </c>
      <c r="B69" s="13" t="s">
        <v>525</v>
      </c>
      <c r="C69" s="14" t="s">
        <v>526</v>
      </c>
      <c r="D69" s="14" t="s">
        <v>42</v>
      </c>
      <c r="E69" s="15" t="n">
        <v>6</v>
      </c>
      <c r="F69" s="14" t="s">
        <v>527</v>
      </c>
      <c r="G69" s="14" t="s">
        <v>528</v>
      </c>
      <c r="H69" s="14" t="s">
        <v>529</v>
      </c>
      <c r="I69" s="14" t="s">
        <v>530</v>
      </c>
      <c r="J69" s="14" t="s">
        <v>531</v>
      </c>
      <c r="K69" s="16" t="n">
        <v>9999</v>
      </c>
      <c r="L69" s="17" t="n">
        <f aca="false">1-M69/K69</f>
        <v>0.7000700070007</v>
      </c>
      <c r="M69" s="18" t="n">
        <v>2999</v>
      </c>
      <c r="N69" s="14" t="s">
        <v>48</v>
      </c>
      <c r="O69" s="14" t="s">
        <v>49</v>
      </c>
      <c r="P69" s="14" t="s">
        <v>50</v>
      </c>
    </row>
    <row r="70" customFormat="false" ht="96" hidden="false" customHeight="true" outlineLevel="0" collapsed="false">
      <c r="A70" s="5" t="s">
        <v>532</v>
      </c>
      <c r="B70" s="6" t="s">
        <v>533</v>
      </c>
      <c r="C70" s="7" t="s">
        <v>526</v>
      </c>
      <c r="D70" s="7" t="s">
        <v>67</v>
      </c>
      <c r="E70" s="8" t="n">
        <v>12</v>
      </c>
      <c r="F70" s="7" t="s">
        <v>534</v>
      </c>
      <c r="G70" s="7" t="s">
        <v>535</v>
      </c>
      <c r="H70" s="7" t="s">
        <v>536</v>
      </c>
      <c r="I70" s="7" t="s">
        <v>537</v>
      </c>
      <c r="J70" s="7" t="s">
        <v>538</v>
      </c>
      <c r="K70" s="9" t="n">
        <v>19999</v>
      </c>
      <c r="L70" s="10" t="n">
        <f aca="false">1-M70/K70</f>
        <v>0.750037501875094</v>
      </c>
      <c r="M70" s="11" t="n">
        <v>4999</v>
      </c>
      <c r="N70" s="7" t="s">
        <v>48</v>
      </c>
      <c r="O70" s="7" t="s">
        <v>49</v>
      </c>
      <c r="P70" s="7" t="s">
        <v>50</v>
      </c>
    </row>
  </sheetData>
  <autoFilter ref="A1:P70"/>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26"/>
    <col collapsed="false" customWidth="true" hidden="false" outlineLevel="0" max="3" min="3" style="0" width="18"/>
    <col collapsed="false" customWidth="true" hidden="false" outlineLevel="0" max="4" min="4" style="0" width="14"/>
    <col collapsed="false" customWidth="true" hidden="false" outlineLevel="0" max="5" min="5" style="0" width="16"/>
    <col collapsed="false" customWidth="true" hidden="false" outlineLevel="0" max="6" min="6" style="0" width="11"/>
    <col collapsed="false" customWidth="true" hidden="false" outlineLevel="0" max="7" min="7" style="0" width="15"/>
    <col collapsed="false" customWidth="true" hidden="false" outlineLevel="0" max="8" min="8" style="0" width="95"/>
  </cols>
  <sheetData>
    <row r="1" customFormat="false" ht="31.5" hidden="false" customHeight="true" outlineLevel="0" collapsed="false">
      <c r="A1" s="4" t="s">
        <v>539</v>
      </c>
      <c r="B1" s="4" t="s">
        <v>540</v>
      </c>
      <c r="C1" s="4" t="s">
        <v>541</v>
      </c>
      <c r="D1" s="4" t="s">
        <v>17</v>
      </c>
      <c r="E1" s="4" t="s">
        <v>21</v>
      </c>
      <c r="F1" s="4" t="s">
        <v>19</v>
      </c>
      <c r="G1" s="4" t="s">
        <v>542</v>
      </c>
      <c r="H1" s="4" t="s">
        <v>543</v>
      </c>
    </row>
    <row r="2" customFormat="false" ht="57.75" hidden="false" customHeight="true" outlineLevel="0" collapsed="false">
      <c r="A2" s="19" t="s">
        <v>544</v>
      </c>
      <c r="B2" s="2" t="s">
        <v>545</v>
      </c>
      <c r="C2" s="2" t="s">
        <v>546</v>
      </c>
      <c r="D2" s="20" t="n">
        <v>4999</v>
      </c>
      <c r="E2" s="21" t="n">
        <v>1499</v>
      </c>
      <c r="F2" s="22" t="n">
        <f aca="false">1-E2/D2</f>
        <v>0.700140028005601</v>
      </c>
      <c r="G2" s="2" t="n">
        <f aca="false">COUNTIFS('Course Master'!$M$2:$M$70,E2)</f>
        <v>16</v>
      </c>
      <c r="H2" s="2" t="s">
        <v>547</v>
      </c>
    </row>
    <row r="3" customFormat="false" ht="57.75" hidden="false" customHeight="true" outlineLevel="0" collapsed="false">
      <c r="A3" s="19" t="s">
        <v>548</v>
      </c>
      <c r="B3" s="2" t="s">
        <v>549</v>
      </c>
      <c r="C3" s="2" t="s">
        <v>550</v>
      </c>
      <c r="D3" s="20" t="n">
        <v>9999</v>
      </c>
      <c r="E3" s="21" t="n">
        <v>2999</v>
      </c>
      <c r="F3" s="22" t="n">
        <f aca="false">1-E3/D3</f>
        <v>0.7000700070007</v>
      </c>
      <c r="G3" s="2" t="n">
        <f aca="false">COUNTIFS('Course Master'!$M$2:$M$70,E3)</f>
        <v>33</v>
      </c>
      <c r="H3" s="2" t="s">
        <v>551</v>
      </c>
    </row>
    <row r="4" customFormat="false" ht="57.75" hidden="false" customHeight="true" outlineLevel="0" collapsed="false">
      <c r="A4" s="19" t="s">
        <v>552</v>
      </c>
      <c r="B4" s="2" t="s">
        <v>553</v>
      </c>
      <c r="C4" s="2" t="s">
        <v>554</v>
      </c>
      <c r="D4" s="20" t="n">
        <v>19999</v>
      </c>
      <c r="E4" s="21" t="n">
        <v>4999</v>
      </c>
      <c r="F4" s="22" t="n">
        <f aca="false">1-E4/D4</f>
        <v>0.750037501875094</v>
      </c>
      <c r="G4" s="2" t="n">
        <f aca="false">COUNTIFS('Course Master'!$M$2:$M$70,E4)</f>
        <v>20</v>
      </c>
      <c r="H4" s="2" t="s">
        <v>555</v>
      </c>
    </row>
    <row r="5" customFormat="false" ht="57.75" hidden="false" customHeight="true" outlineLevel="0" collapsed="false">
      <c r="A5" s="23" t="s">
        <v>556</v>
      </c>
      <c r="B5" s="23"/>
      <c r="C5" s="23"/>
      <c r="D5" s="24"/>
      <c r="E5" s="24"/>
      <c r="F5" s="25"/>
      <c r="G5" s="23" t="n">
        <f aca="false">SUM(G2:G4)</f>
        <v>69</v>
      </c>
      <c r="H5" s="23"/>
    </row>
    <row r="7" customFormat="false" ht="15" hidden="false" customHeight="false" outlineLevel="0" collapsed="false">
      <c r="A7" s="26" t="s">
        <v>557</v>
      </c>
    </row>
    <row r="8" customFormat="false" ht="15" hidden="false" customHeight="false" outlineLevel="0" collapsed="false">
      <c r="A8" s="27" t="s">
        <v>558</v>
      </c>
    </row>
    <row r="9" customFormat="false" ht="15" hidden="false" customHeight="false" outlineLevel="0" collapsed="false">
      <c r="A9" s="27" t="s">
        <v>559</v>
      </c>
    </row>
    <row r="10" customFormat="false" ht="15" hidden="false" customHeight="false" outlineLevel="0" collapsed="false">
      <c r="A10" s="27" t="s">
        <v>560</v>
      </c>
    </row>
    <row r="11" customFormat="false" ht="15" hidden="false" customHeight="false" outlineLevel="0" collapsed="false">
      <c r="A11" s="27" t="s">
        <v>561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2026-09-29T10:51:18Z</dcterms:created>
  <dc:creator>openpyxl</dc:creator>
  <dc:description/>
  <dc:language>en-US</dc:language>
  <cp:lastModifiedBy/>
  <dcterms:modified xsi:type="dcterms:W3CDTF">2026-09-29T10:51:18Z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